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SamaSama\note\"/>
    </mc:Choice>
  </mc:AlternateContent>
  <xr:revisionPtr revIDLastSave="0" documentId="13_ncr:1_{1706D347-76FA-404E-820C-0B1BC5E08D83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優照護模式比較" sheetId="2" r:id="rId1"/>
    <sheet name="優照護系統比較" sheetId="3" r:id="rId2"/>
    <sheet name="WBS" sheetId="4" r:id="rId3"/>
    <sheet name="初階甘特圖" sheetId="5" r:id="rId4"/>
  </sheets>
  <definedNames>
    <definedName name="_xlnm._FilterDatabase" localSheetId="2" hidden="1">WBS!$A$1:$G$28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7" i="4" l="1"/>
  <c r="F28" i="4" s="1"/>
  <c r="E27" i="4"/>
  <c r="G27" i="4" s="1"/>
  <c r="G23" i="4"/>
  <c r="G24" i="4"/>
  <c r="G25" i="4"/>
  <c r="G22" i="4"/>
  <c r="G18" i="4"/>
  <c r="G19" i="4"/>
  <c r="G20" i="4"/>
  <c r="G17" i="4"/>
  <c r="G12" i="4"/>
  <c r="G13" i="4"/>
  <c r="G14" i="4"/>
  <c r="G15" i="4"/>
  <c r="G11" i="4"/>
  <c r="G4" i="4"/>
  <c r="G5" i="4"/>
  <c r="G6" i="4"/>
  <c r="G7" i="4"/>
  <c r="G8" i="4"/>
  <c r="G9" i="4"/>
  <c r="G3" i="4"/>
  <c r="E28" i="4" l="1"/>
  <c r="G28" i="4" s="1"/>
</calcChain>
</file>

<file path=xl/sharedStrings.xml><?xml version="1.0" encoding="utf-8"?>
<sst xmlns="http://schemas.openxmlformats.org/spreadsheetml/2006/main" count="187" uniqueCount="148">
  <si>
    <t>雇主</t>
    <phoneticPr fontId="1" type="noConversion"/>
  </si>
  <si>
    <t>照護員</t>
    <phoneticPr fontId="1" type="noConversion"/>
  </si>
  <si>
    <t>行事曆</t>
    <phoneticPr fontId="1" type="noConversion"/>
  </si>
  <si>
    <t>平台服務費</t>
    <phoneticPr fontId="1" type="noConversion"/>
  </si>
  <si>
    <t>變現模式</t>
    <phoneticPr fontId="1" type="noConversion"/>
  </si>
  <si>
    <t>可預約時間+工作</t>
    <phoneticPr fontId="1" type="noConversion"/>
  </si>
  <si>
    <t>預約時間</t>
    <phoneticPr fontId="1" type="noConversion"/>
  </si>
  <si>
    <t>線上溝通</t>
    <phoneticPr fontId="1" type="noConversion"/>
  </si>
  <si>
    <t>認證方式</t>
    <phoneticPr fontId="1" type="noConversion"/>
  </si>
  <si>
    <t>詳盡資料</t>
    <phoneticPr fontId="1" type="noConversion"/>
  </si>
  <si>
    <t>配對方式</t>
    <phoneticPr fontId="1" type="noConversion"/>
  </si>
  <si>
    <t>金流方式</t>
    <phoneticPr fontId="1" type="noConversion"/>
  </si>
  <si>
    <t>信用卡消費於服務平台</t>
    <phoneticPr fontId="1" type="noConversion"/>
  </si>
  <si>
    <t>月結</t>
    <phoneticPr fontId="1" type="noConversion"/>
  </si>
  <si>
    <t>開啟被搜尋模式、系統自動通知/人工通知</t>
    <phoneticPr fontId="1" type="noConversion"/>
  </si>
  <si>
    <t>詳盡資料、信用卡</t>
    <phoneticPr fontId="1" type="noConversion"/>
  </si>
  <si>
    <t>定價方式</t>
    <phoneticPr fontId="1" type="noConversion"/>
  </si>
  <si>
    <t>平台定價 / 有等級之分</t>
    <phoneticPr fontId="1" type="noConversion"/>
  </si>
  <si>
    <t>成功配對後才可對話，定時或非活躍使用者刪除紀錄</t>
    <phoneticPr fontId="1" type="noConversion"/>
  </si>
  <si>
    <t>無項目選擇</t>
    <phoneticPr fontId="1" type="noConversion"/>
  </si>
  <si>
    <t>僅備註，需再與雇主確認</t>
    <phoneticPr fontId="1" type="noConversion"/>
  </si>
  <si>
    <t>可對照護員評分(無項目)</t>
    <phoneticPr fontId="1" type="noConversion"/>
  </si>
  <si>
    <t>僅被評</t>
    <phoneticPr fontId="1" type="noConversion"/>
  </si>
  <si>
    <t>評價方式</t>
    <phoneticPr fontId="1" type="noConversion"/>
  </si>
  <si>
    <t>配對需求</t>
    <phoneticPr fontId="1" type="noConversion"/>
  </si>
  <si>
    <t>小老闆</t>
    <phoneticPr fontId="1" type="noConversion"/>
  </si>
  <si>
    <t>客戶</t>
    <phoneticPr fontId="1" type="noConversion"/>
  </si>
  <si>
    <t>可主動查找附近照護員/客服人工配對</t>
    <phoneticPr fontId="1" type="noConversion"/>
  </si>
  <si>
    <t>僅備註，需再與客戶確認</t>
    <phoneticPr fontId="1" type="noConversion"/>
  </si>
  <si>
    <t>平台訂閱費</t>
    <phoneticPr fontId="1" type="noConversion"/>
  </si>
  <si>
    <t>上傳證明文件、人工認證</t>
    <phoneticPr fontId="1" type="noConversion"/>
  </si>
  <si>
    <t>-</t>
    <phoneticPr fontId="1" type="noConversion"/>
  </si>
  <si>
    <t>自定價，定價區間設定於系統</t>
    <phoneticPr fontId="1" type="noConversion"/>
  </si>
  <si>
    <t>可對小老闆評分，分3+1項</t>
    <phoneticPr fontId="1" type="noConversion"/>
  </si>
  <si>
    <t>可對客戶評分</t>
    <phoneticPr fontId="1" type="noConversion"/>
  </si>
  <si>
    <t>自行安排，一張需求單有效期限為七天</t>
    <phoneticPr fontId="1" type="noConversion"/>
  </si>
  <si>
    <t>個人黃頁</t>
    <phoneticPr fontId="1" type="noConversion"/>
  </si>
  <si>
    <t>無</t>
    <phoneticPr fontId="1" type="noConversion"/>
  </si>
  <si>
    <t>使用信用卡訂閱</t>
    <phoneticPr fontId="1" type="noConversion"/>
  </si>
  <si>
    <t>有</t>
    <phoneticPr fontId="1" type="noConversion"/>
  </si>
  <si>
    <t>優照護</t>
    <phoneticPr fontId="1" type="noConversion"/>
  </si>
  <si>
    <t>Service Link</t>
    <phoneticPr fontId="1" type="noConversion"/>
  </si>
  <si>
    <t>核心程式</t>
    <phoneticPr fontId="1" type="noConversion"/>
  </si>
  <si>
    <t>網站僅導覽，主要使用雇主/照護員 APP</t>
    <phoneticPr fontId="1" type="noConversion"/>
  </si>
  <si>
    <t>程式碼架構</t>
    <phoneticPr fontId="1" type="noConversion"/>
  </si>
  <si>
    <t>主要使用網站</t>
    <phoneticPr fontId="1" type="noConversion"/>
  </si>
  <si>
    <t>DDD+Clean，後端為獨立API</t>
    <phoneticPr fontId="1" type="noConversion"/>
  </si>
  <si>
    <t>程式語言</t>
    <phoneticPr fontId="1" type="noConversion"/>
  </si>
  <si>
    <t>基本情況描述</t>
    <phoneticPr fontId="1" type="noConversion"/>
  </si>
  <si>
    <t>伺服器系統</t>
    <phoneticPr fontId="1" type="noConversion"/>
  </si>
  <si>
    <t>Ubuntu + Docker</t>
    <phoneticPr fontId="1" type="noConversion"/>
  </si>
  <si>
    <t>.Net Core</t>
    <phoneticPr fontId="1" type="noConversion"/>
  </si>
  <si>
    <t>伺服器規格</t>
    <phoneticPr fontId="1" type="noConversion"/>
  </si>
  <si>
    <t>資料庫系統</t>
    <phoneticPr fontId="1" type="noConversion"/>
  </si>
  <si>
    <t>PostgreSQL</t>
    <phoneticPr fontId="1" type="noConversion"/>
  </si>
  <si>
    <t>小老闆模組</t>
    <phoneticPr fontId="1" type="noConversion"/>
  </si>
  <si>
    <t>共同模組</t>
    <phoneticPr fontId="1" type="noConversion"/>
  </si>
  <si>
    <t>使用者權限模組</t>
    <phoneticPr fontId="1" type="noConversion"/>
  </si>
  <si>
    <t>使用者基本模組</t>
    <phoneticPr fontId="1" type="noConversion"/>
  </si>
  <si>
    <t>登入 / 資料填寫</t>
    <phoneticPr fontId="1" type="noConversion"/>
  </si>
  <si>
    <t>使用者行為統計模組</t>
    <phoneticPr fontId="1" type="noConversion"/>
  </si>
  <si>
    <t>客戶與小老闆各自權限等級</t>
    <phoneticPr fontId="1" type="noConversion"/>
  </si>
  <si>
    <t>註冊模組</t>
    <phoneticPr fontId="1" type="noConversion"/>
  </si>
  <si>
    <t>項目服務模組</t>
    <phoneticPr fontId="1" type="noConversion"/>
  </si>
  <si>
    <t>服務資訊模組</t>
    <phoneticPr fontId="1" type="noConversion"/>
  </si>
  <si>
    <t>三階層項目</t>
    <phoneticPr fontId="1" type="noConversion"/>
  </si>
  <si>
    <t>註冊頁面</t>
    <phoneticPr fontId="1" type="noConversion"/>
  </si>
  <si>
    <t>註冊頁面、個人黃頁</t>
    <phoneticPr fontId="1" type="noConversion"/>
  </si>
  <si>
    <t>地區 / 方式 / 定價</t>
    <phoneticPr fontId="1" type="noConversion"/>
  </si>
  <si>
    <t>即時對話，定時或非活躍使用者刪除紀錄</t>
  </si>
  <si>
    <r>
      <t xml:space="preserve">可主動查找附近客戶/ </t>
    </r>
    <r>
      <rPr>
        <sz val="11"/>
        <color rgb="FFFF0000"/>
        <rFont val="微軟正黑體"/>
        <family val="2"/>
        <charset val="136"/>
      </rPr>
      <t>自動媒合通知</t>
    </r>
    <phoneticPr fontId="1" type="noConversion"/>
  </si>
  <si>
    <r>
      <t xml:space="preserve">可主動查找附近小老闆/ </t>
    </r>
    <r>
      <rPr>
        <sz val="11"/>
        <color rgb="FFFF0000"/>
        <rFont val="微軟正黑體"/>
        <family val="2"/>
        <charset val="136"/>
      </rPr>
      <t>主動發需求單/ 自動媒合</t>
    </r>
    <phoneticPr fontId="1" type="noConversion"/>
  </si>
  <si>
    <r>
      <t xml:space="preserve">免費 / </t>
    </r>
    <r>
      <rPr>
        <sz val="11"/>
        <color rgb="FFFF0000"/>
        <rFont val="微軟正黑體"/>
        <family val="2"/>
        <charset val="136"/>
      </rPr>
      <t>套裝月租費</t>
    </r>
    <phoneticPr fontId="1" type="noConversion"/>
  </si>
  <si>
    <t>維護人力</t>
    <phoneticPr fontId="1" type="noConversion"/>
  </si>
  <si>
    <t>維護成本</t>
    <phoneticPr fontId="1" type="noConversion"/>
  </si>
  <si>
    <t>自動媒合模組</t>
    <phoneticPr fontId="1" type="noConversion"/>
  </si>
  <si>
    <t>媒合後通知，限期內回覆</t>
    <phoneticPr fontId="1" type="noConversion"/>
  </si>
  <si>
    <t>由服務項目 / 地區 / 期效展開</t>
    <phoneticPr fontId="1" type="noConversion"/>
  </si>
  <si>
    <t>即時溝通模組</t>
    <phoneticPr fontId="1" type="noConversion"/>
  </si>
  <si>
    <t>行事曆模組</t>
    <phoneticPr fontId="1" type="noConversion"/>
  </si>
  <si>
    <t>與即時溝通模組串連</t>
    <phoneticPr fontId="1" type="noConversion"/>
  </si>
  <si>
    <t>依需求單模組與權限模組串連發送信息</t>
    <phoneticPr fontId="1" type="noConversion"/>
  </si>
  <si>
    <t>客戶模組</t>
    <phoneticPr fontId="1" type="noConversion"/>
  </si>
  <si>
    <t>訂單發起模組</t>
    <phoneticPr fontId="1" type="noConversion"/>
  </si>
  <si>
    <t>查詢訂單模組</t>
    <phoneticPr fontId="1" type="noConversion"/>
  </si>
  <si>
    <t>群發 / 單發</t>
    <phoneticPr fontId="1" type="noConversion"/>
  </si>
  <si>
    <t>查詢服務模組</t>
    <phoneticPr fontId="1" type="noConversion"/>
  </si>
  <si>
    <t>由服務項目 / 地區 / 定價展開</t>
    <phoneticPr fontId="1" type="noConversion"/>
  </si>
  <si>
    <t>管理者模組</t>
    <phoneticPr fontId="1" type="noConversion"/>
  </si>
  <si>
    <t>訂閱模組</t>
    <phoneticPr fontId="1" type="noConversion"/>
  </si>
  <si>
    <t>金流、權限模組串連</t>
    <phoneticPr fontId="1" type="noConversion"/>
  </si>
  <si>
    <t>專業認證模組</t>
    <phoneticPr fontId="1" type="noConversion"/>
  </si>
  <si>
    <t>上傳相關證明文件、人工認證</t>
    <phoneticPr fontId="1" type="noConversion"/>
  </si>
  <si>
    <t>信用卡認證模組</t>
    <phoneticPr fontId="1" type="noConversion"/>
  </si>
  <si>
    <t>使用者管理模組</t>
    <phoneticPr fontId="1" type="noConversion"/>
  </si>
  <si>
    <t>評分模組</t>
    <phoneticPr fontId="1" type="noConversion"/>
  </si>
  <si>
    <t>對小老闆3+1評分與留言</t>
    <phoneticPr fontId="1" type="noConversion"/>
  </si>
  <si>
    <t>人工認證後台模組</t>
    <phoneticPr fontId="1" type="noConversion"/>
  </si>
  <si>
    <t>權限 / 帳號活躍 / 即時溝通查詢</t>
    <phoneticPr fontId="1" type="noConversion"/>
  </si>
  <si>
    <t>平台通知模組</t>
    <phoneticPr fontId="1" type="noConversion"/>
  </si>
  <si>
    <t>平台信箱</t>
    <phoneticPr fontId="1" type="noConversion"/>
  </si>
  <si>
    <t>退單 / 接受、賦予權限</t>
    <phoneticPr fontId="1" type="noConversion"/>
  </si>
  <si>
    <t>任何行為統計 / 活躍帳號統計</t>
    <phoneticPr fontId="1" type="noConversion"/>
  </si>
  <si>
    <t>0元刷卡認證</t>
    <phoneticPr fontId="1" type="noConversion"/>
  </si>
  <si>
    <t>初階工時</t>
    <phoneticPr fontId="1" type="noConversion"/>
  </si>
  <si>
    <t>二階工時</t>
    <phoneticPr fontId="1" type="noConversion"/>
  </si>
  <si>
    <t>總計</t>
    <phoneticPr fontId="1" type="noConversion"/>
  </si>
  <si>
    <t>順序</t>
    <phoneticPr fontId="1" type="noConversion"/>
  </si>
  <si>
    <t>項目</t>
    <phoneticPr fontId="1" type="noConversion"/>
  </si>
  <si>
    <t>說明</t>
    <phoneticPr fontId="1" type="noConversion"/>
  </si>
  <si>
    <t>工時</t>
    <phoneticPr fontId="1" type="noConversion"/>
  </si>
  <si>
    <t>天數</t>
    <phoneticPr fontId="1" type="noConversion"/>
  </si>
  <si>
    <t>SN</t>
    <phoneticPr fontId="1" type="noConversion"/>
  </si>
  <si>
    <t>9月</t>
    <phoneticPr fontId="1" type="noConversion"/>
  </si>
  <si>
    <t>10月</t>
    <phoneticPr fontId="1" type="noConversion"/>
  </si>
  <si>
    <t>幣別系統</t>
    <phoneticPr fontId="1" type="noConversion"/>
  </si>
  <si>
    <t>基本架構建置</t>
    <phoneticPr fontId="1" type="noConversion"/>
  </si>
  <si>
    <t xml:space="preserve">工時 </t>
    <phoneticPr fontId="1" type="noConversion"/>
  </si>
  <si>
    <t>前端四步驟問卷</t>
    <phoneticPr fontId="1" type="noConversion"/>
  </si>
  <si>
    <t>後端API</t>
    <phoneticPr fontId="1" type="noConversion"/>
  </si>
  <si>
    <t>Google登入/資料表設計</t>
    <phoneticPr fontId="1" type="noConversion"/>
  </si>
  <si>
    <t>資料表設計</t>
    <phoneticPr fontId="1" type="noConversion"/>
  </si>
  <si>
    <t>地區資訊資料表設計</t>
    <phoneticPr fontId="1" type="noConversion"/>
  </si>
  <si>
    <t>三層服務資料表設計</t>
    <phoneticPr fontId="1" type="noConversion"/>
  </si>
  <si>
    <t>前端UI</t>
    <phoneticPr fontId="1" type="noConversion"/>
  </si>
  <si>
    <t>查詢UI</t>
    <phoneticPr fontId="1" type="noConversion"/>
  </si>
  <si>
    <t>問卷式填寫UI</t>
    <phoneticPr fontId="1" type="noConversion"/>
  </si>
  <si>
    <t>三層分類UI</t>
    <phoneticPr fontId="1" type="noConversion"/>
  </si>
  <si>
    <t>服務項目查詢</t>
    <phoneticPr fontId="1" type="noConversion"/>
  </si>
  <si>
    <t>店家頁面</t>
    <phoneticPr fontId="1" type="noConversion"/>
  </si>
  <si>
    <t>11月</t>
    <phoneticPr fontId="1" type="noConversion"/>
  </si>
  <si>
    <t>W1</t>
    <phoneticPr fontId="1" type="noConversion"/>
  </si>
  <si>
    <t>W2</t>
  </si>
  <si>
    <t>W2</t>
    <phoneticPr fontId="1" type="noConversion"/>
  </si>
  <si>
    <t>W3</t>
  </si>
  <si>
    <t>W4</t>
  </si>
  <si>
    <t>W5</t>
  </si>
  <si>
    <t>Facebook登入</t>
    <phoneticPr fontId="1" type="noConversion"/>
  </si>
  <si>
    <t>Apple登入</t>
    <phoneticPr fontId="1" type="noConversion"/>
  </si>
  <si>
    <t>其他Email登入</t>
    <phoneticPr fontId="1" type="noConversion"/>
  </si>
  <si>
    <t>多篩選條件查詢</t>
    <phoneticPr fontId="1" type="noConversion"/>
  </si>
  <si>
    <t>地圖模式查詢</t>
    <phoneticPr fontId="1" type="noConversion"/>
  </si>
  <si>
    <t>Stipe帳號申請</t>
    <phoneticPr fontId="1" type="noConversion"/>
  </si>
  <si>
    <t>UI設計</t>
    <phoneticPr fontId="1" type="noConversion"/>
  </si>
  <si>
    <t>後端API呼叫</t>
    <phoneticPr fontId="1" type="noConversion"/>
  </si>
  <si>
    <t>發起UI</t>
    <phoneticPr fontId="1" type="noConversion"/>
  </si>
  <si>
    <t>資料庫設計</t>
    <phoneticPr fontId="1" type="noConversion"/>
  </si>
  <si>
    <t>歷史紀錄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</si>
</sst>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微軟正黑體"/>
      <family val="2"/>
      <charset val="136"/>
    </font>
    <font>
      <sz val="11"/>
      <color theme="0"/>
      <name val="微軟正黑體"/>
      <family val="2"/>
      <charset val="136"/>
    </font>
    <font>
      <sz val="11"/>
      <name val="微軟正黑體"/>
      <family val="2"/>
      <charset val="136"/>
    </font>
    <font>
      <sz val="11"/>
      <color rgb="FFFF0000"/>
      <name val="微軟正黑體"/>
      <family val="2"/>
      <charset val="136"/>
    </font>
  </fonts>
  <fills count="1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2" fillId="0" borderId="0" xfId="0" applyFont="1"/>
    <xf numFmtId="0" fontId="2" fillId="0" borderId="1" xfId="0" applyFont="1" applyBorder="1"/>
    <xf numFmtId="0" fontId="3" fillId="2" borderId="1" xfId="0" applyFont="1" applyFill="1" applyBorder="1"/>
    <xf numFmtId="0" fontId="4" fillId="3" borderId="1" xfId="0" applyFont="1" applyFill="1" applyBorder="1"/>
    <xf numFmtId="0" fontId="2" fillId="0" borderId="1" xfId="0" applyFont="1" applyBorder="1" applyAlignment="1">
      <alignment horizontal="left" vertical="center"/>
    </xf>
    <xf numFmtId="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vertical="center"/>
    </xf>
    <xf numFmtId="0" fontId="2" fillId="0" borderId="3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1" xfId="0" applyFont="1" applyBorder="1" applyAlignment="1"/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0" borderId="0" xfId="0" applyFill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/>
    <xf numFmtId="0" fontId="0" fillId="12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290879</xdr:colOff>
      <xdr:row>2</xdr:row>
      <xdr:rowOff>46160</xdr:rowOff>
    </xdr:from>
    <xdr:to>
      <xdr:col>3</xdr:col>
      <xdr:colOff>332154</xdr:colOff>
      <xdr:row>2</xdr:row>
      <xdr:rowOff>177755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7B9DF156-C581-D3E5-60A1-4EA3872C8D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6379" y="446210"/>
          <a:ext cx="336550" cy="131595"/>
        </a:xfrm>
        <a:prstGeom prst="rect">
          <a:avLst/>
        </a:prstGeom>
      </xdr:spPr>
    </xdr:pic>
    <xdr:clientData/>
  </xdr:twoCellAnchor>
  <xdr:twoCellAnchor editAs="oneCell">
    <xdr:from>
      <xdr:col>2</xdr:col>
      <xdr:colOff>791310</xdr:colOff>
      <xdr:row>2</xdr:row>
      <xdr:rowOff>169985</xdr:rowOff>
    </xdr:from>
    <xdr:to>
      <xdr:col>3</xdr:col>
      <xdr:colOff>327757</xdr:colOff>
      <xdr:row>2</xdr:row>
      <xdr:rowOff>302083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B352036C-DC55-C64E-6BE1-8CA42935CE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86810" y="565639"/>
          <a:ext cx="322382" cy="132098"/>
        </a:xfrm>
        <a:prstGeom prst="rect">
          <a:avLst/>
        </a:prstGeom>
      </xdr:spPr>
    </xdr:pic>
    <xdr:clientData/>
  </xdr:twoCellAnchor>
  <xdr:twoCellAnchor editAs="oneCell">
    <xdr:from>
      <xdr:col>3</xdr:col>
      <xdr:colOff>278179</xdr:colOff>
      <xdr:row>3</xdr:row>
      <xdr:rowOff>60813</xdr:rowOff>
    </xdr:from>
    <xdr:to>
      <xdr:col>4</xdr:col>
      <xdr:colOff>1955</xdr:colOff>
      <xdr:row>3</xdr:row>
      <xdr:rowOff>192408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49C48907-B8B9-4D23-B78F-4CD176EE8C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75367" y="783126"/>
          <a:ext cx="334963" cy="131595"/>
        </a:xfrm>
        <a:prstGeom prst="rect">
          <a:avLst/>
        </a:prstGeom>
      </xdr:spPr>
    </xdr:pic>
    <xdr:clientData/>
  </xdr:twoCellAnchor>
  <xdr:twoCellAnchor editAs="oneCell">
    <xdr:from>
      <xdr:col>3</xdr:col>
      <xdr:colOff>283310</xdr:colOff>
      <xdr:row>3</xdr:row>
      <xdr:rowOff>184638</xdr:rowOff>
    </xdr:from>
    <xdr:to>
      <xdr:col>4</xdr:col>
      <xdr:colOff>5495</xdr:colOff>
      <xdr:row>3</xdr:row>
      <xdr:rowOff>316736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4532FE4D-55C0-48CB-8172-ADD37A004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80498" y="906951"/>
          <a:ext cx="325435" cy="132098"/>
        </a:xfrm>
        <a:prstGeom prst="rect">
          <a:avLst/>
        </a:prstGeom>
      </xdr:spPr>
    </xdr:pic>
    <xdr:clientData/>
  </xdr:twoCellAnchor>
  <xdr:twoCellAnchor editAs="oneCell">
    <xdr:from>
      <xdr:col>3</xdr:col>
      <xdr:colOff>603617</xdr:colOff>
      <xdr:row>9</xdr:row>
      <xdr:rowOff>37001</xdr:rowOff>
    </xdr:from>
    <xdr:to>
      <xdr:col>4</xdr:col>
      <xdr:colOff>433917</xdr:colOff>
      <xdr:row>9</xdr:row>
      <xdr:rowOff>168596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3863AB24-F630-4041-AE63-3893B6E113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96073" y="1090354"/>
          <a:ext cx="441020" cy="131595"/>
        </a:xfrm>
        <a:prstGeom prst="rect">
          <a:avLst/>
        </a:prstGeom>
      </xdr:spPr>
    </xdr:pic>
    <xdr:clientData/>
  </xdr:twoCellAnchor>
  <xdr:twoCellAnchor editAs="oneCell">
    <xdr:from>
      <xdr:col>4</xdr:col>
      <xdr:colOff>206</xdr:colOff>
      <xdr:row>9</xdr:row>
      <xdr:rowOff>160826</xdr:rowOff>
    </xdr:from>
    <xdr:to>
      <xdr:col>4</xdr:col>
      <xdr:colOff>428625</xdr:colOff>
      <xdr:row>9</xdr:row>
      <xdr:rowOff>292924</xdr:rowOff>
    </xdr:to>
    <xdr:pic>
      <xdr:nvPicPr>
        <xdr:cNvPr id="7" name="圖片 6">
          <a:extLst>
            <a:ext uri="{FF2B5EF4-FFF2-40B4-BE49-F238E27FC236}">
              <a16:creationId xmlns:a16="http://schemas.microsoft.com/office/drawing/2014/main" id="{2E2D0FF6-5E7D-494D-A0E5-35603055B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00581" y="1208576"/>
          <a:ext cx="428419" cy="132098"/>
        </a:xfrm>
        <a:prstGeom prst="rect">
          <a:avLst/>
        </a:prstGeom>
      </xdr:spPr>
    </xdr:pic>
    <xdr:clientData/>
  </xdr:twoCellAnchor>
  <xdr:twoCellAnchor editAs="oneCell">
    <xdr:from>
      <xdr:col>4</xdr:col>
      <xdr:colOff>406766</xdr:colOff>
      <xdr:row>14</xdr:row>
      <xdr:rowOff>35942</xdr:rowOff>
    </xdr:from>
    <xdr:to>
      <xdr:col>5</xdr:col>
      <xdr:colOff>237066</xdr:colOff>
      <xdr:row>14</xdr:row>
      <xdr:rowOff>167537</xdr:rowOff>
    </xdr:to>
    <xdr:pic>
      <xdr:nvPicPr>
        <xdr:cNvPr id="12" name="圖片 11">
          <a:extLst>
            <a:ext uri="{FF2B5EF4-FFF2-40B4-BE49-F238E27FC236}">
              <a16:creationId xmlns:a16="http://schemas.microsoft.com/office/drawing/2014/main" id="{20D54AB1-B9A6-4F6A-A779-17C68EF0D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07141" y="1406484"/>
          <a:ext cx="438842" cy="131595"/>
        </a:xfrm>
        <a:prstGeom prst="rect">
          <a:avLst/>
        </a:prstGeom>
      </xdr:spPr>
    </xdr:pic>
    <xdr:clientData/>
  </xdr:twoCellAnchor>
  <xdr:twoCellAnchor editAs="oneCell">
    <xdr:from>
      <xdr:col>4</xdr:col>
      <xdr:colOff>411897</xdr:colOff>
      <xdr:row>14</xdr:row>
      <xdr:rowOff>159767</xdr:rowOff>
    </xdr:from>
    <xdr:to>
      <xdr:col>5</xdr:col>
      <xdr:colOff>231774</xdr:colOff>
      <xdr:row>14</xdr:row>
      <xdr:rowOff>291865</xdr:rowOff>
    </xdr:to>
    <xdr:pic>
      <xdr:nvPicPr>
        <xdr:cNvPr id="13" name="圖片 12">
          <a:extLst>
            <a:ext uri="{FF2B5EF4-FFF2-40B4-BE49-F238E27FC236}">
              <a16:creationId xmlns:a16="http://schemas.microsoft.com/office/drawing/2014/main" id="{5C1C879C-05B9-4DCF-9856-36497AD2F4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12272" y="1530309"/>
          <a:ext cx="428419" cy="132098"/>
        </a:xfrm>
        <a:prstGeom prst="rect">
          <a:avLst/>
        </a:prstGeom>
      </xdr:spPr>
    </xdr:pic>
    <xdr:clientData/>
  </xdr:twoCellAnchor>
  <xdr:twoCellAnchor editAs="oneCell">
    <xdr:from>
      <xdr:col>5</xdr:col>
      <xdr:colOff>227909</xdr:colOff>
      <xdr:row>19</xdr:row>
      <xdr:rowOff>31710</xdr:rowOff>
    </xdr:from>
    <xdr:to>
      <xdr:col>5</xdr:col>
      <xdr:colOff>560227</xdr:colOff>
      <xdr:row>19</xdr:row>
      <xdr:rowOff>163305</xdr:rowOff>
    </xdr:to>
    <xdr:pic>
      <xdr:nvPicPr>
        <xdr:cNvPr id="14" name="圖片 13">
          <a:extLst>
            <a:ext uri="{FF2B5EF4-FFF2-40B4-BE49-F238E27FC236}">
              <a16:creationId xmlns:a16="http://schemas.microsoft.com/office/drawing/2014/main" id="{A69F1896-DAD4-4C77-BD4A-A755CD55C7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36826" y="1725043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5</xdr:col>
      <xdr:colOff>233040</xdr:colOff>
      <xdr:row>19</xdr:row>
      <xdr:rowOff>155535</xdr:rowOff>
    </xdr:from>
    <xdr:to>
      <xdr:col>5</xdr:col>
      <xdr:colOff>563767</xdr:colOff>
      <xdr:row>19</xdr:row>
      <xdr:rowOff>287633</xdr:rowOff>
    </xdr:to>
    <xdr:pic>
      <xdr:nvPicPr>
        <xdr:cNvPr id="15" name="圖片 14">
          <a:extLst>
            <a:ext uri="{FF2B5EF4-FFF2-40B4-BE49-F238E27FC236}">
              <a16:creationId xmlns:a16="http://schemas.microsoft.com/office/drawing/2014/main" id="{94B5E7AE-11CC-43CB-B690-D3648BAB3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41957" y="1848868"/>
          <a:ext cx="330727" cy="132098"/>
        </a:xfrm>
        <a:prstGeom prst="rect">
          <a:avLst/>
        </a:prstGeom>
      </xdr:spPr>
    </xdr:pic>
    <xdr:clientData/>
  </xdr:twoCellAnchor>
  <xdr:twoCellAnchor editAs="oneCell">
    <xdr:from>
      <xdr:col>5</xdr:col>
      <xdr:colOff>550701</xdr:colOff>
      <xdr:row>22</xdr:row>
      <xdr:rowOff>34356</xdr:rowOff>
    </xdr:from>
    <xdr:to>
      <xdr:col>6</xdr:col>
      <xdr:colOff>273419</xdr:colOff>
      <xdr:row>22</xdr:row>
      <xdr:rowOff>165951</xdr:rowOff>
    </xdr:to>
    <xdr:pic>
      <xdr:nvPicPr>
        <xdr:cNvPr id="16" name="圖片 15">
          <a:extLst>
            <a:ext uri="{FF2B5EF4-FFF2-40B4-BE49-F238E27FC236}">
              <a16:creationId xmlns:a16="http://schemas.microsoft.com/office/drawing/2014/main" id="{46F12903-5EE7-4242-A101-4BFA572246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676" y="2053656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5</xdr:col>
      <xdr:colOff>555832</xdr:colOff>
      <xdr:row>22</xdr:row>
      <xdr:rowOff>158181</xdr:rowOff>
    </xdr:from>
    <xdr:to>
      <xdr:col>6</xdr:col>
      <xdr:colOff>276959</xdr:colOff>
      <xdr:row>22</xdr:row>
      <xdr:rowOff>290279</xdr:rowOff>
    </xdr:to>
    <xdr:pic>
      <xdr:nvPicPr>
        <xdr:cNvPr id="17" name="圖片 16">
          <a:extLst>
            <a:ext uri="{FF2B5EF4-FFF2-40B4-BE49-F238E27FC236}">
              <a16:creationId xmlns:a16="http://schemas.microsoft.com/office/drawing/2014/main" id="{688C5975-4FC5-43B3-90B1-1599ACA34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65807" y="2177481"/>
          <a:ext cx="330727" cy="132098"/>
        </a:xfrm>
        <a:prstGeom prst="rect">
          <a:avLst/>
        </a:prstGeom>
      </xdr:spPr>
    </xdr:pic>
    <xdr:clientData/>
  </xdr:twoCellAnchor>
  <xdr:twoCellAnchor editAs="oneCell">
    <xdr:from>
      <xdr:col>6</xdr:col>
      <xdr:colOff>262230</xdr:colOff>
      <xdr:row>25</xdr:row>
      <xdr:rowOff>39799</xdr:rowOff>
    </xdr:from>
    <xdr:to>
      <xdr:col>6</xdr:col>
      <xdr:colOff>448822</xdr:colOff>
      <xdr:row>25</xdr:row>
      <xdr:rowOff>171394</xdr:rowOff>
    </xdr:to>
    <xdr:pic>
      <xdr:nvPicPr>
        <xdr:cNvPr id="18" name="圖片 17">
          <a:extLst>
            <a:ext uri="{FF2B5EF4-FFF2-40B4-BE49-F238E27FC236}">
              <a16:creationId xmlns:a16="http://schemas.microsoft.com/office/drawing/2014/main" id="{FEC8B971-3BF6-4872-914D-75996975B3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76170" y="2383647"/>
          <a:ext cx="186592" cy="131595"/>
        </a:xfrm>
        <a:prstGeom prst="rect">
          <a:avLst/>
        </a:prstGeom>
      </xdr:spPr>
    </xdr:pic>
    <xdr:clientData/>
  </xdr:twoCellAnchor>
  <xdr:twoCellAnchor editAs="oneCell">
    <xdr:from>
      <xdr:col>6</xdr:col>
      <xdr:colOff>267361</xdr:colOff>
      <xdr:row>25</xdr:row>
      <xdr:rowOff>163624</xdr:rowOff>
    </xdr:from>
    <xdr:to>
      <xdr:col>6</xdr:col>
      <xdr:colOff>446328</xdr:colOff>
      <xdr:row>25</xdr:row>
      <xdr:rowOff>295722</xdr:rowOff>
    </xdr:to>
    <xdr:pic>
      <xdr:nvPicPr>
        <xdr:cNvPr id="19" name="圖片 18">
          <a:extLst>
            <a:ext uri="{FF2B5EF4-FFF2-40B4-BE49-F238E27FC236}">
              <a16:creationId xmlns:a16="http://schemas.microsoft.com/office/drawing/2014/main" id="{4E6BD47D-7493-4664-B1B2-C9C76B0FA9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81301" y="2507472"/>
          <a:ext cx="178967" cy="132098"/>
        </a:xfrm>
        <a:prstGeom prst="rect">
          <a:avLst/>
        </a:prstGeom>
      </xdr:spPr>
    </xdr:pic>
    <xdr:clientData/>
  </xdr:twoCellAnchor>
  <xdr:twoCellAnchor editAs="oneCell">
    <xdr:from>
      <xdr:col>6</xdr:col>
      <xdr:colOff>445926</xdr:colOff>
      <xdr:row>28</xdr:row>
      <xdr:rowOff>30415</xdr:rowOff>
    </xdr:from>
    <xdr:to>
      <xdr:col>7</xdr:col>
      <xdr:colOff>168644</xdr:colOff>
      <xdr:row>28</xdr:row>
      <xdr:rowOff>162010</xdr:rowOff>
    </xdr:to>
    <xdr:pic>
      <xdr:nvPicPr>
        <xdr:cNvPr id="20" name="圖片 19">
          <a:extLst>
            <a:ext uri="{FF2B5EF4-FFF2-40B4-BE49-F238E27FC236}">
              <a16:creationId xmlns:a16="http://schemas.microsoft.com/office/drawing/2014/main" id="{84A74511-0C9B-4596-AA0D-DDCACE6AFB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69771" y="2707268"/>
          <a:ext cx="333632" cy="131595"/>
        </a:xfrm>
        <a:prstGeom prst="rect">
          <a:avLst/>
        </a:prstGeom>
      </xdr:spPr>
    </xdr:pic>
    <xdr:clientData/>
  </xdr:twoCellAnchor>
  <xdr:twoCellAnchor editAs="oneCell">
    <xdr:from>
      <xdr:col>6</xdr:col>
      <xdr:colOff>451057</xdr:colOff>
      <xdr:row>28</xdr:row>
      <xdr:rowOff>154240</xdr:rowOff>
    </xdr:from>
    <xdr:to>
      <xdr:col>7</xdr:col>
      <xdr:colOff>11430</xdr:colOff>
      <xdr:row>28</xdr:row>
      <xdr:rowOff>286338</xdr:rowOff>
    </xdr:to>
    <xdr:pic>
      <xdr:nvPicPr>
        <xdr:cNvPr id="21" name="圖片 20">
          <a:extLst>
            <a:ext uri="{FF2B5EF4-FFF2-40B4-BE49-F238E27FC236}">
              <a16:creationId xmlns:a16="http://schemas.microsoft.com/office/drawing/2014/main" id="{FA1D2B81-1D1C-4091-9DCB-774CC8E2AC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72537" y="2825050"/>
          <a:ext cx="169973" cy="132098"/>
        </a:xfrm>
        <a:prstGeom prst="rect">
          <a:avLst/>
        </a:prstGeom>
      </xdr:spPr>
    </xdr:pic>
    <xdr:clientData/>
  </xdr:twoCellAnchor>
  <xdr:twoCellAnchor editAs="oneCell">
    <xdr:from>
      <xdr:col>7</xdr:col>
      <xdr:colOff>148231</xdr:colOff>
      <xdr:row>33</xdr:row>
      <xdr:rowOff>100198</xdr:rowOff>
    </xdr:from>
    <xdr:to>
      <xdr:col>7</xdr:col>
      <xdr:colOff>590852</xdr:colOff>
      <xdr:row>33</xdr:row>
      <xdr:rowOff>231793</xdr:rowOff>
    </xdr:to>
    <xdr:pic>
      <xdr:nvPicPr>
        <xdr:cNvPr id="22" name="圖片 21">
          <a:extLst>
            <a:ext uri="{FF2B5EF4-FFF2-40B4-BE49-F238E27FC236}">
              <a16:creationId xmlns:a16="http://schemas.microsoft.com/office/drawing/2014/main" id="{7D3DF798-0DEE-4836-9673-9124D73044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95398" y="3127031"/>
          <a:ext cx="442621" cy="131595"/>
        </a:xfrm>
        <a:prstGeom prst="rect">
          <a:avLst/>
        </a:prstGeom>
      </xdr:spPr>
    </xdr:pic>
    <xdr:clientData/>
  </xdr:twoCellAnchor>
  <xdr:twoCellAnchor editAs="oneCell">
    <xdr:from>
      <xdr:col>7</xdr:col>
      <xdr:colOff>547980</xdr:colOff>
      <xdr:row>37</xdr:row>
      <xdr:rowOff>107834</xdr:rowOff>
    </xdr:from>
    <xdr:to>
      <xdr:col>8</xdr:col>
      <xdr:colOff>270698</xdr:colOff>
      <xdr:row>37</xdr:row>
      <xdr:rowOff>239429</xdr:rowOff>
    </xdr:to>
    <xdr:pic>
      <xdr:nvPicPr>
        <xdr:cNvPr id="23" name="圖片 22">
          <a:extLst>
            <a:ext uri="{FF2B5EF4-FFF2-40B4-BE49-F238E27FC236}">
              <a16:creationId xmlns:a16="http://schemas.microsoft.com/office/drawing/2014/main" id="{13524FB1-2AF3-4F0B-8151-08997FCEC4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85319" y="3441584"/>
          <a:ext cx="335040" cy="131595"/>
        </a:xfrm>
        <a:prstGeom prst="rect">
          <a:avLst/>
        </a:prstGeom>
      </xdr:spPr>
    </xdr:pic>
    <xdr:clientData/>
  </xdr:twoCellAnchor>
  <xdr:twoCellAnchor editAs="oneCell">
    <xdr:from>
      <xdr:col>8</xdr:col>
      <xdr:colOff>288271</xdr:colOff>
      <xdr:row>42</xdr:row>
      <xdr:rowOff>94697</xdr:rowOff>
    </xdr:from>
    <xdr:to>
      <xdr:col>9</xdr:col>
      <xdr:colOff>10989</xdr:colOff>
      <xdr:row>42</xdr:row>
      <xdr:rowOff>226292</xdr:rowOff>
    </xdr:to>
    <xdr:pic>
      <xdr:nvPicPr>
        <xdr:cNvPr id="24" name="圖片 23">
          <a:extLst>
            <a:ext uri="{FF2B5EF4-FFF2-40B4-BE49-F238E27FC236}">
              <a16:creationId xmlns:a16="http://schemas.microsoft.com/office/drawing/2014/main" id="{E59F7AD8-684B-4BFF-BBA0-7B25DBDD48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37932" y="3755018"/>
          <a:ext cx="335039" cy="131595"/>
        </a:xfrm>
        <a:prstGeom prst="rect">
          <a:avLst/>
        </a:prstGeom>
      </xdr:spPr>
    </xdr:pic>
    <xdr:clientData/>
  </xdr:twoCellAnchor>
  <xdr:twoCellAnchor editAs="oneCell">
    <xdr:from>
      <xdr:col>9</xdr:col>
      <xdr:colOff>314126</xdr:colOff>
      <xdr:row>44</xdr:row>
      <xdr:rowOff>79730</xdr:rowOff>
    </xdr:from>
    <xdr:to>
      <xdr:col>10</xdr:col>
      <xdr:colOff>354542</xdr:colOff>
      <xdr:row>44</xdr:row>
      <xdr:rowOff>211325</xdr:rowOff>
    </xdr:to>
    <xdr:pic>
      <xdr:nvPicPr>
        <xdr:cNvPr id="26" name="圖片 25">
          <a:extLst>
            <a:ext uri="{FF2B5EF4-FFF2-40B4-BE49-F238E27FC236}">
              <a16:creationId xmlns:a16="http://schemas.microsoft.com/office/drawing/2014/main" id="{1F4137F3-0F3E-4548-A3E6-A2BCE26D85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7209" y="4355397"/>
          <a:ext cx="648958" cy="131595"/>
        </a:xfrm>
        <a:prstGeom prst="rect">
          <a:avLst/>
        </a:prstGeom>
      </xdr:spPr>
    </xdr:pic>
    <xdr:clientData/>
  </xdr:twoCellAnchor>
  <xdr:twoCellAnchor editAs="oneCell">
    <xdr:from>
      <xdr:col>10</xdr:col>
      <xdr:colOff>335140</xdr:colOff>
      <xdr:row>45</xdr:row>
      <xdr:rowOff>87894</xdr:rowOff>
    </xdr:from>
    <xdr:to>
      <xdr:col>11</xdr:col>
      <xdr:colOff>57857</xdr:colOff>
      <xdr:row>45</xdr:row>
      <xdr:rowOff>219489</xdr:rowOff>
    </xdr:to>
    <xdr:pic>
      <xdr:nvPicPr>
        <xdr:cNvPr id="27" name="圖片 26">
          <a:extLst>
            <a:ext uri="{FF2B5EF4-FFF2-40B4-BE49-F238E27FC236}">
              <a16:creationId xmlns:a16="http://schemas.microsoft.com/office/drawing/2014/main" id="{A3C4F70A-93B0-4B2A-B448-462CE44D85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86765" y="4686352"/>
          <a:ext cx="331259" cy="131595"/>
        </a:xfrm>
        <a:prstGeom prst="rect">
          <a:avLst/>
        </a:prstGeom>
      </xdr:spPr>
    </xdr:pic>
    <xdr:clientData/>
  </xdr:twoCellAnchor>
  <xdr:twoCellAnchor editAs="oneCell">
    <xdr:from>
      <xdr:col>11</xdr:col>
      <xdr:colOff>57970</xdr:colOff>
      <xdr:row>46</xdr:row>
      <xdr:rowOff>110177</xdr:rowOff>
    </xdr:from>
    <xdr:to>
      <xdr:col>11</xdr:col>
      <xdr:colOff>500591</xdr:colOff>
      <xdr:row>46</xdr:row>
      <xdr:rowOff>241772</xdr:rowOff>
    </xdr:to>
    <xdr:pic>
      <xdr:nvPicPr>
        <xdr:cNvPr id="28" name="圖片 27">
          <a:extLst>
            <a:ext uri="{FF2B5EF4-FFF2-40B4-BE49-F238E27FC236}">
              <a16:creationId xmlns:a16="http://schemas.microsoft.com/office/drawing/2014/main" id="{B62F7992-4127-49F4-B7A2-C7CC62E25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28720" y="5050477"/>
          <a:ext cx="442621" cy="131595"/>
        </a:xfrm>
        <a:prstGeom prst="rect">
          <a:avLst/>
        </a:prstGeom>
      </xdr:spPr>
    </xdr:pic>
    <xdr:clientData/>
  </xdr:twoCellAnchor>
  <xdr:twoCellAnchor editAs="oneCell">
    <xdr:from>
      <xdr:col>11</xdr:col>
      <xdr:colOff>511882</xdr:colOff>
      <xdr:row>47</xdr:row>
      <xdr:rowOff>91068</xdr:rowOff>
    </xdr:from>
    <xdr:to>
      <xdr:col>12</xdr:col>
      <xdr:colOff>234600</xdr:colOff>
      <xdr:row>47</xdr:row>
      <xdr:rowOff>222663</xdr:rowOff>
    </xdr:to>
    <xdr:pic>
      <xdr:nvPicPr>
        <xdr:cNvPr id="30" name="圖片 29">
          <a:extLst>
            <a:ext uri="{FF2B5EF4-FFF2-40B4-BE49-F238E27FC236}">
              <a16:creationId xmlns:a16="http://schemas.microsoft.com/office/drawing/2014/main" id="{ED821CF5-4E21-4D78-88AD-2ED779196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2632" y="5355218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8</xdr:col>
      <xdr:colOff>600782</xdr:colOff>
      <xdr:row>43</xdr:row>
      <xdr:rowOff>91068</xdr:rowOff>
    </xdr:from>
    <xdr:to>
      <xdr:col>9</xdr:col>
      <xdr:colOff>323500</xdr:colOff>
      <xdr:row>43</xdr:row>
      <xdr:rowOff>222663</xdr:rowOff>
    </xdr:to>
    <xdr:pic>
      <xdr:nvPicPr>
        <xdr:cNvPr id="31" name="圖片 30">
          <a:extLst>
            <a:ext uri="{FF2B5EF4-FFF2-40B4-BE49-F238E27FC236}">
              <a16:creationId xmlns:a16="http://schemas.microsoft.com/office/drawing/2014/main" id="{C1B65DA3-611C-4D36-9180-6A6EE00C2E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42732" y="4059818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12</xdr:col>
      <xdr:colOff>267559</xdr:colOff>
      <xdr:row>48</xdr:row>
      <xdr:rowOff>107247</xdr:rowOff>
    </xdr:from>
    <xdr:to>
      <xdr:col>13</xdr:col>
      <xdr:colOff>307975</xdr:colOff>
      <xdr:row>48</xdr:row>
      <xdr:rowOff>238842</xdr:rowOff>
    </xdr:to>
    <xdr:pic>
      <xdr:nvPicPr>
        <xdr:cNvPr id="32" name="圖片 31">
          <a:extLst>
            <a:ext uri="{FF2B5EF4-FFF2-40B4-BE49-F238E27FC236}">
              <a16:creationId xmlns:a16="http://schemas.microsoft.com/office/drawing/2014/main" id="{DB5D3BFF-65B4-488A-96B1-46AFF6187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47909" y="5695247"/>
          <a:ext cx="650016" cy="131595"/>
        </a:xfrm>
        <a:prstGeom prst="rect">
          <a:avLst/>
        </a:prstGeom>
      </xdr:spPr>
    </xdr:pic>
    <xdr:clientData/>
  </xdr:twoCellAnchor>
  <xdr:twoCellAnchor editAs="oneCell">
    <xdr:from>
      <xdr:col>13</xdr:col>
      <xdr:colOff>286609</xdr:colOff>
      <xdr:row>49</xdr:row>
      <xdr:rowOff>94547</xdr:rowOff>
    </xdr:from>
    <xdr:to>
      <xdr:col>14</xdr:col>
      <xdr:colOff>327025</xdr:colOff>
      <xdr:row>49</xdr:row>
      <xdr:rowOff>226142</xdr:rowOff>
    </xdr:to>
    <xdr:pic>
      <xdr:nvPicPr>
        <xdr:cNvPr id="33" name="圖片 32">
          <a:extLst>
            <a:ext uri="{FF2B5EF4-FFF2-40B4-BE49-F238E27FC236}">
              <a16:creationId xmlns:a16="http://schemas.microsoft.com/office/drawing/2014/main" id="{57E871DB-F6A9-4938-9550-83BD1806B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76559" y="6006397"/>
          <a:ext cx="650016" cy="131595"/>
        </a:xfrm>
        <a:prstGeom prst="rect">
          <a:avLst/>
        </a:prstGeom>
      </xdr:spPr>
    </xdr:pic>
    <xdr:clientData/>
  </xdr:twoCellAnchor>
  <xdr:twoCellAnchor editAs="oneCell">
    <xdr:from>
      <xdr:col>14</xdr:col>
      <xdr:colOff>346782</xdr:colOff>
      <xdr:row>50</xdr:row>
      <xdr:rowOff>110118</xdr:rowOff>
    </xdr:from>
    <xdr:to>
      <xdr:col>15</xdr:col>
      <xdr:colOff>69500</xdr:colOff>
      <xdr:row>50</xdr:row>
      <xdr:rowOff>241713</xdr:rowOff>
    </xdr:to>
    <xdr:pic>
      <xdr:nvPicPr>
        <xdr:cNvPr id="34" name="圖片 33">
          <a:extLst>
            <a:ext uri="{FF2B5EF4-FFF2-40B4-BE49-F238E27FC236}">
              <a16:creationId xmlns:a16="http://schemas.microsoft.com/office/drawing/2014/main" id="{03D5A836-3EE0-4966-B36F-B09DF40734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46332" y="6345818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15</xdr:col>
      <xdr:colOff>99132</xdr:colOff>
      <xdr:row>51</xdr:row>
      <xdr:rowOff>116468</xdr:rowOff>
    </xdr:from>
    <xdr:to>
      <xdr:col>15</xdr:col>
      <xdr:colOff>431450</xdr:colOff>
      <xdr:row>51</xdr:row>
      <xdr:rowOff>248063</xdr:rowOff>
    </xdr:to>
    <xdr:pic>
      <xdr:nvPicPr>
        <xdr:cNvPr id="36" name="圖片 35">
          <a:extLst>
            <a:ext uri="{FF2B5EF4-FFF2-40B4-BE49-F238E27FC236}">
              <a16:creationId xmlns:a16="http://schemas.microsoft.com/office/drawing/2014/main" id="{47CDF335-DCA7-DF59-F53C-08E7D0D095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08282" y="6676018"/>
          <a:ext cx="332318" cy="131595"/>
        </a:xfrm>
        <a:prstGeom prst="rect">
          <a:avLst/>
        </a:prstGeom>
      </xdr:spPr>
    </xdr:pic>
    <xdr:clientData/>
  </xdr:twoCellAnchor>
  <xdr:twoCellAnchor editAs="oneCell">
    <xdr:from>
      <xdr:col>15</xdr:col>
      <xdr:colOff>450270</xdr:colOff>
      <xdr:row>52</xdr:row>
      <xdr:rowOff>103997</xdr:rowOff>
    </xdr:from>
    <xdr:to>
      <xdr:col>16</xdr:col>
      <xdr:colOff>27262</xdr:colOff>
      <xdr:row>52</xdr:row>
      <xdr:rowOff>235592</xdr:rowOff>
    </xdr:to>
    <xdr:pic>
      <xdr:nvPicPr>
        <xdr:cNvPr id="37" name="圖片 36">
          <a:extLst>
            <a:ext uri="{FF2B5EF4-FFF2-40B4-BE49-F238E27FC236}">
              <a16:creationId xmlns:a16="http://schemas.microsoft.com/office/drawing/2014/main" id="{F54F43BC-10B3-44D6-A728-11D2B70051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59420" y="6987397"/>
          <a:ext cx="186592" cy="1315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16E6B-90EE-4788-A14E-E8C1015C7C79}">
  <dimension ref="A2:G24"/>
  <sheetViews>
    <sheetView zoomScale="120" zoomScaleNormal="120" workbookViewId="0">
      <selection activeCell="D21" sqref="D21"/>
    </sheetView>
  </sheetViews>
  <sheetFormatPr defaultRowHeight="15.75" x14ac:dyDescent="0.25"/>
  <cols>
    <col min="1" max="1" width="9.140625" style="4"/>
    <col min="2" max="2" width="14.140625" style="4" customWidth="1"/>
    <col min="3" max="3" width="39.85546875" style="4" bestFit="1" customWidth="1"/>
    <col min="4" max="4" width="44.7109375" style="4" bestFit="1" customWidth="1"/>
    <col min="5" max="5" width="4.5703125" style="4" customWidth="1"/>
    <col min="6" max="6" width="51.42578125" style="4" bestFit="1" customWidth="1"/>
    <col min="7" max="7" width="38.140625" style="4" bestFit="1" customWidth="1"/>
  </cols>
  <sheetData>
    <row r="2" spans="2:7" x14ac:dyDescent="0.25">
      <c r="B2" s="5"/>
      <c r="C2" s="6" t="s">
        <v>0</v>
      </c>
      <c r="D2" s="6" t="s">
        <v>1</v>
      </c>
      <c r="F2" s="6" t="s">
        <v>26</v>
      </c>
      <c r="G2" s="6" t="s">
        <v>25</v>
      </c>
    </row>
    <row r="3" spans="2:7" x14ac:dyDescent="0.25">
      <c r="B3" s="7" t="s">
        <v>10</v>
      </c>
      <c r="C3" s="8" t="s">
        <v>27</v>
      </c>
      <c r="D3" s="8" t="s">
        <v>14</v>
      </c>
      <c r="F3" s="5" t="s">
        <v>71</v>
      </c>
      <c r="G3" s="5" t="s">
        <v>70</v>
      </c>
    </row>
    <row r="4" spans="2:7" x14ac:dyDescent="0.25">
      <c r="B4" s="7" t="s">
        <v>24</v>
      </c>
      <c r="C4" s="8" t="s">
        <v>48</v>
      </c>
      <c r="D4" s="8" t="s">
        <v>20</v>
      </c>
      <c r="F4" s="8" t="s">
        <v>19</v>
      </c>
      <c r="G4" s="8" t="s">
        <v>28</v>
      </c>
    </row>
    <row r="5" spans="2:7" x14ac:dyDescent="0.25">
      <c r="B5" s="7" t="s">
        <v>4</v>
      </c>
      <c r="C5" s="8" t="s">
        <v>3</v>
      </c>
      <c r="D5" s="9">
        <v>0.25</v>
      </c>
      <c r="F5" s="5" t="s">
        <v>72</v>
      </c>
      <c r="G5" s="17" t="s">
        <v>29</v>
      </c>
    </row>
    <row r="6" spans="2:7" x14ac:dyDescent="0.25">
      <c r="B6" s="7" t="s">
        <v>11</v>
      </c>
      <c r="C6" s="8" t="s">
        <v>12</v>
      </c>
      <c r="D6" s="8" t="s">
        <v>13</v>
      </c>
      <c r="F6" s="8" t="s">
        <v>37</v>
      </c>
      <c r="G6" s="16" t="s">
        <v>38</v>
      </c>
    </row>
    <row r="7" spans="2:7" x14ac:dyDescent="0.25">
      <c r="B7" s="7" t="s">
        <v>7</v>
      </c>
      <c r="C7" s="10" t="s">
        <v>18</v>
      </c>
      <c r="D7" s="10"/>
      <c r="F7" s="15" t="s">
        <v>69</v>
      </c>
      <c r="G7" s="14"/>
    </row>
    <row r="8" spans="2:7" x14ac:dyDescent="0.25">
      <c r="B8" s="7" t="s">
        <v>8</v>
      </c>
      <c r="C8" s="8" t="s">
        <v>15</v>
      </c>
      <c r="D8" s="8" t="s">
        <v>30</v>
      </c>
      <c r="F8" s="5" t="s">
        <v>9</v>
      </c>
      <c r="G8" s="17" t="s">
        <v>30</v>
      </c>
    </row>
    <row r="9" spans="2:7" x14ac:dyDescent="0.25">
      <c r="B9" s="7" t="s">
        <v>16</v>
      </c>
      <c r="C9" s="10" t="s">
        <v>17</v>
      </c>
      <c r="D9" s="10"/>
      <c r="F9" s="5" t="s">
        <v>31</v>
      </c>
      <c r="G9" s="5" t="s">
        <v>32</v>
      </c>
    </row>
    <row r="10" spans="2:7" x14ac:dyDescent="0.25">
      <c r="B10" s="7" t="s">
        <v>23</v>
      </c>
      <c r="C10" s="8" t="s">
        <v>21</v>
      </c>
      <c r="D10" s="8" t="s">
        <v>22</v>
      </c>
      <c r="F10" s="17" t="s">
        <v>33</v>
      </c>
      <c r="G10" s="17" t="s">
        <v>34</v>
      </c>
    </row>
    <row r="11" spans="2:7" x14ac:dyDescent="0.25">
      <c r="B11" s="7" t="s">
        <v>2</v>
      </c>
      <c r="C11" s="8" t="s">
        <v>6</v>
      </c>
      <c r="D11" s="8" t="s">
        <v>5</v>
      </c>
      <c r="F11" s="18" t="s">
        <v>35</v>
      </c>
      <c r="G11" s="18"/>
    </row>
    <row r="12" spans="2:7" x14ac:dyDescent="0.25">
      <c r="B12" s="7" t="s">
        <v>36</v>
      </c>
      <c r="C12" s="8" t="s">
        <v>37</v>
      </c>
      <c r="D12" s="8" t="s">
        <v>39</v>
      </c>
      <c r="F12" s="5" t="s">
        <v>37</v>
      </c>
      <c r="G12" s="5" t="s">
        <v>39</v>
      </c>
    </row>
    <row r="13" spans="2:7" x14ac:dyDescent="0.25">
      <c r="C13" s="11"/>
      <c r="D13" s="11"/>
    </row>
    <row r="14" spans="2:7" x14ac:dyDescent="0.25">
      <c r="C14" s="11"/>
      <c r="D14" s="11"/>
    </row>
    <row r="15" spans="2:7" x14ac:dyDescent="0.25">
      <c r="C15" s="11"/>
      <c r="D15" s="11"/>
    </row>
    <row r="16" spans="2:7" x14ac:dyDescent="0.25">
      <c r="C16" s="11"/>
      <c r="D16" s="11"/>
    </row>
    <row r="17" spans="3:4" x14ac:dyDescent="0.25">
      <c r="C17" s="11"/>
      <c r="D17" s="11"/>
    </row>
    <row r="18" spans="3:4" x14ac:dyDescent="0.25">
      <c r="C18" s="11"/>
      <c r="D18" s="11"/>
    </row>
    <row r="19" spans="3:4" x14ac:dyDescent="0.25">
      <c r="C19" s="11"/>
      <c r="D19" s="11"/>
    </row>
    <row r="20" spans="3:4" x14ac:dyDescent="0.25">
      <c r="C20" s="11"/>
      <c r="D20" s="11"/>
    </row>
    <row r="21" spans="3:4" x14ac:dyDescent="0.25">
      <c r="C21" s="11"/>
      <c r="D21" s="11"/>
    </row>
    <row r="22" spans="3:4" x14ac:dyDescent="0.25">
      <c r="C22" s="11"/>
      <c r="D22" s="11"/>
    </row>
    <row r="23" spans="3:4" x14ac:dyDescent="0.25">
      <c r="C23" s="12"/>
      <c r="D23" s="12"/>
    </row>
    <row r="24" spans="3:4" x14ac:dyDescent="0.25">
      <c r="C24" s="12"/>
      <c r="D24" s="12"/>
    </row>
  </sheetData>
  <mergeCells count="4">
    <mergeCell ref="C7:D7"/>
    <mergeCell ref="C9:D9"/>
    <mergeCell ref="F7:G7"/>
    <mergeCell ref="F11:G1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7F696-4440-45C6-886B-FE35B81CF5E3}">
  <dimension ref="B2:D12"/>
  <sheetViews>
    <sheetView zoomScale="210" zoomScaleNormal="210" workbookViewId="0">
      <selection activeCell="B11" sqref="B11"/>
    </sheetView>
  </sheetViews>
  <sheetFormatPr defaultRowHeight="15.75" x14ac:dyDescent="0.25"/>
  <cols>
    <col min="2" max="2" width="11.5703125" customWidth="1"/>
    <col min="3" max="3" width="40.42578125" bestFit="1" customWidth="1"/>
    <col min="4" max="4" width="32.42578125" bestFit="1" customWidth="1"/>
  </cols>
  <sheetData>
    <row r="2" spans="2:4" x14ac:dyDescent="0.25">
      <c r="B2" s="5"/>
      <c r="C2" s="6" t="s">
        <v>40</v>
      </c>
      <c r="D2" s="6" t="s">
        <v>41</v>
      </c>
    </row>
    <row r="3" spans="2:4" x14ac:dyDescent="0.25">
      <c r="B3" s="7" t="s">
        <v>42</v>
      </c>
      <c r="C3" s="8" t="s">
        <v>43</v>
      </c>
      <c r="D3" s="8" t="s">
        <v>45</v>
      </c>
    </row>
    <row r="4" spans="2:4" x14ac:dyDescent="0.25">
      <c r="B4" s="7" t="s">
        <v>44</v>
      </c>
      <c r="C4" s="8"/>
      <c r="D4" s="8" t="s">
        <v>46</v>
      </c>
    </row>
    <row r="5" spans="2:4" x14ac:dyDescent="0.25">
      <c r="B5" s="7" t="s">
        <v>47</v>
      </c>
      <c r="C5" s="8"/>
      <c r="D5" s="9" t="s">
        <v>51</v>
      </c>
    </row>
    <row r="6" spans="2:4" x14ac:dyDescent="0.25">
      <c r="B6" s="7" t="s">
        <v>49</v>
      </c>
      <c r="C6" s="8"/>
      <c r="D6" s="8" t="s">
        <v>50</v>
      </c>
    </row>
    <row r="7" spans="2:4" x14ac:dyDescent="0.25">
      <c r="B7" s="7" t="s">
        <v>52</v>
      </c>
      <c r="C7" s="13"/>
      <c r="D7" s="13" t="s">
        <v>31</v>
      </c>
    </row>
    <row r="8" spans="2:4" x14ac:dyDescent="0.25">
      <c r="B8" s="7" t="s">
        <v>53</v>
      </c>
      <c r="C8" s="8"/>
      <c r="D8" s="8" t="s">
        <v>54</v>
      </c>
    </row>
    <row r="9" spans="2:4" x14ac:dyDescent="0.25">
      <c r="B9" s="7" t="s">
        <v>73</v>
      </c>
      <c r="C9" s="13"/>
      <c r="D9" s="13"/>
    </row>
    <row r="10" spans="2:4" x14ac:dyDescent="0.25">
      <c r="B10" s="7" t="s">
        <v>74</v>
      </c>
      <c r="C10" s="8"/>
      <c r="D10" s="8"/>
    </row>
    <row r="11" spans="2:4" x14ac:dyDescent="0.25">
      <c r="B11" s="7"/>
      <c r="C11" s="8"/>
      <c r="D11" s="8"/>
    </row>
    <row r="12" spans="2:4" x14ac:dyDescent="0.25">
      <c r="B12" s="7"/>
      <c r="C12" s="8"/>
      <c r="D12" s="8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4D79A-FB13-4A11-B625-9CB7BFC6BBEB}">
  <dimension ref="A1:G28"/>
  <sheetViews>
    <sheetView workbookViewId="0">
      <selection activeCell="D35" sqref="D35"/>
    </sheetView>
  </sheetViews>
  <sheetFormatPr defaultRowHeight="15.75" x14ac:dyDescent="0.25"/>
  <cols>
    <col min="3" max="3" width="21.28515625" customWidth="1"/>
    <col min="4" max="4" width="41.5703125" bestFit="1" customWidth="1"/>
    <col min="5" max="6" width="12.5703125" customWidth="1"/>
    <col min="7" max="7" width="8.28515625" customWidth="1"/>
  </cols>
  <sheetData>
    <row r="1" spans="1:7" x14ac:dyDescent="0.25">
      <c r="A1" t="s">
        <v>112</v>
      </c>
      <c r="B1" t="s">
        <v>107</v>
      </c>
      <c r="C1" t="s">
        <v>108</v>
      </c>
      <c r="D1" t="s">
        <v>109</v>
      </c>
      <c r="E1" t="s">
        <v>104</v>
      </c>
      <c r="F1" t="s">
        <v>105</v>
      </c>
      <c r="G1" t="s">
        <v>106</v>
      </c>
    </row>
    <row r="2" spans="1:7" x14ac:dyDescent="0.25">
      <c r="A2">
        <v>1</v>
      </c>
      <c r="C2" s="23" t="s">
        <v>56</v>
      </c>
    </row>
    <row r="3" spans="1:7" x14ac:dyDescent="0.25">
      <c r="A3">
        <v>2</v>
      </c>
      <c r="B3">
        <v>10</v>
      </c>
      <c r="C3" s="19" t="s">
        <v>58</v>
      </c>
      <c r="D3" t="s">
        <v>59</v>
      </c>
      <c r="E3">
        <v>4</v>
      </c>
      <c r="F3">
        <v>4</v>
      </c>
      <c r="G3">
        <f>E3+F3</f>
        <v>8</v>
      </c>
    </row>
    <row r="4" spans="1:7" x14ac:dyDescent="0.25">
      <c r="A4">
        <v>3</v>
      </c>
      <c r="B4">
        <v>180</v>
      </c>
      <c r="C4" s="19" t="s">
        <v>57</v>
      </c>
      <c r="D4" t="s">
        <v>61</v>
      </c>
      <c r="E4">
        <v>2</v>
      </c>
      <c r="F4">
        <v>4</v>
      </c>
      <c r="G4">
        <f>E4+F4</f>
        <v>6</v>
      </c>
    </row>
    <row r="5" spans="1:7" x14ac:dyDescent="0.25">
      <c r="A5">
        <v>4</v>
      </c>
      <c r="B5">
        <v>120</v>
      </c>
      <c r="C5" s="19" t="s">
        <v>99</v>
      </c>
      <c r="D5" t="s">
        <v>100</v>
      </c>
      <c r="E5">
        <v>4</v>
      </c>
      <c r="F5">
        <v>6</v>
      </c>
      <c r="G5">
        <f>E5+F5</f>
        <v>10</v>
      </c>
    </row>
    <row r="6" spans="1:7" x14ac:dyDescent="0.25">
      <c r="A6">
        <v>5</v>
      </c>
      <c r="B6">
        <v>140</v>
      </c>
      <c r="C6" s="19" t="s">
        <v>75</v>
      </c>
      <c r="D6" t="s">
        <v>76</v>
      </c>
      <c r="E6">
        <v>4</v>
      </c>
      <c r="F6">
        <v>8</v>
      </c>
      <c r="G6">
        <f>E6+F6</f>
        <v>12</v>
      </c>
    </row>
    <row r="7" spans="1:7" x14ac:dyDescent="0.25">
      <c r="A7">
        <v>6</v>
      </c>
      <c r="B7">
        <v>130</v>
      </c>
      <c r="C7" s="19" t="s">
        <v>78</v>
      </c>
      <c r="D7" t="s">
        <v>81</v>
      </c>
      <c r="E7">
        <v>6</v>
      </c>
      <c r="F7">
        <v>8</v>
      </c>
      <c r="G7">
        <f>E7+F7</f>
        <v>14</v>
      </c>
    </row>
    <row r="8" spans="1:7" x14ac:dyDescent="0.25">
      <c r="A8">
        <v>7</v>
      </c>
      <c r="B8">
        <v>150</v>
      </c>
      <c r="C8" s="19" t="s">
        <v>79</v>
      </c>
      <c r="D8" t="s">
        <v>80</v>
      </c>
      <c r="E8">
        <v>8</v>
      </c>
      <c r="F8">
        <v>8</v>
      </c>
      <c r="G8">
        <f>E8+F8</f>
        <v>16</v>
      </c>
    </row>
    <row r="9" spans="1:7" x14ac:dyDescent="0.25">
      <c r="A9">
        <v>8</v>
      </c>
      <c r="B9">
        <v>80</v>
      </c>
      <c r="C9" s="19" t="s">
        <v>93</v>
      </c>
      <c r="D9" t="s">
        <v>103</v>
      </c>
      <c r="E9">
        <v>6</v>
      </c>
      <c r="F9">
        <v>0</v>
      </c>
      <c r="G9">
        <f>E9+F9</f>
        <v>6</v>
      </c>
    </row>
    <row r="10" spans="1:7" x14ac:dyDescent="0.25">
      <c r="A10">
        <v>9</v>
      </c>
      <c r="C10" s="24" t="s">
        <v>55</v>
      </c>
    </row>
    <row r="11" spans="1:7" x14ac:dyDescent="0.25">
      <c r="A11">
        <v>10</v>
      </c>
      <c r="B11">
        <v>30</v>
      </c>
      <c r="C11" s="20" t="s">
        <v>62</v>
      </c>
      <c r="D11" t="s">
        <v>67</v>
      </c>
      <c r="E11">
        <v>6</v>
      </c>
      <c r="F11">
        <v>8</v>
      </c>
      <c r="G11">
        <f>E11+F11</f>
        <v>14</v>
      </c>
    </row>
    <row r="12" spans="1:7" x14ac:dyDescent="0.25">
      <c r="A12">
        <v>11</v>
      </c>
      <c r="B12">
        <v>40</v>
      </c>
      <c r="C12" s="20" t="s">
        <v>64</v>
      </c>
      <c r="D12" t="s">
        <v>68</v>
      </c>
      <c r="E12">
        <v>4</v>
      </c>
      <c r="F12">
        <v>8</v>
      </c>
      <c r="G12">
        <f>E12+F12</f>
        <v>12</v>
      </c>
    </row>
    <row r="13" spans="1:7" x14ac:dyDescent="0.25">
      <c r="A13">
        <v>12</v>
      </c>
      <c r="B13">
        <v>50</v>
      </c>
      <c r="C13" s="20" t="s">
        <v>84</v>
      </c>
      <c r="D13" t="s">
        <v>77</v>
      </c>
      <c r="E13">
        <v>4</v>
      </c>
      <c r="F13">
        <v>8</v>
      </c>
      <c r="G13">
        <f>E13+F13</f>
        <v>12</v>
      </c>
    </row>
    <row r="14" spans="1:7" x14ac:dyDescent="0.25">
      <c r="A14">
        <v>13</v>
      </c>
      <c r="B14">
        <v>160</v>
      </c>
      <c r="C14" s="20" t="s">
        <v>89</v>
      </c>
      <c r="D14" t="s">
        <v>90</v>
      </c>
      <c r="E14">
        <v>8</v>
      </c>
      <c r="F14">
        <v>0</v>
      </c>
      <c r="G14">
        <f>E14+F14</f>
        <v>8</v>
      </c>
    </row>
    <row r="15" spans="1:7" x14ac:dyDescent="0.25">
      <c r="A15">
        <v>14</v>
      </c>
      <c r="B15">
        <v>100</v>
      </c>
      <c r="C15" s="20" t="s">
        <v>91</v>
      </c>
      <c r="D15" t="s">
        <v>92</v>
      </c>
      <c r="E15">
        <v>4</v>
      </c>
      <c r="F15">
        <v>2</v>
      </c>
      <c r="G15">
        <f>E15+F15</f>
        <v>6</v>
      </c>
    </row>
    <row r="16" spans="1:7" x14ac:dyDescent="0.25">
      <c r="A16">
        <v>15</v>
      </c>
      <c r="C16" s="25" t="s">
        <v>82</v>
      </c>
    </row>
    <row r="17" spans="1:7" x14ac:dyDescent="0.25">
      <c r="A17">
        <v>16</v>
      </c>
      <c r="B17">
        <v>60</v>
      </c>
      <c r="C17" s="21" t="s">
        <v>62</v>
      </c>
      <c r="D17" t="s">
        <v>66</v>
      </c>
      <c r="E17">
        <v>6</v>
      </c>
      <c r="F17">
        <v>8</v>
      </c>
      <c r="G17">
        <f>E17+F17</f>
        <v>14</v>
      </c>
    </row>
    <row r="18" spans="1:7" x14ac:dyDescent="0.25">
      <c r="A18">
        <v>17</v>
      </c>
      <c r="B18">
        <v>70</v>
      </c>
      <c r="C18" s="21" t="s">
        <v>86</v>
      </c>
      <c r="D18" t="s">
        <v>87</v>
      </c>
      <c r="E18">
        <v>4</v>
      </c>
      <c r="F18">
        <v>6</v>
      </c>
      <c r="G18">
        <f>E18+F18</f>
        <v>10</v>
      </c>
    </row>
    <row r="19" spans="1:7" x14ac:dyDescent="0.25">
      <c r="A19">
        <v>18</v>
      </c>
      <c r="B19">
        <v>90</v>
      </c>
      <c r="C19" s="21" t="s">
        <v>83</v>
      </c>
      <c r="D19" t="s">
        <v>85</v>
      </c>
      <c r="E19">
        <v>4</v>
      </c>
      <c r="F19">
        <v>6</v>
      </c>
      <c r="G19">
        <f>E19+F19</f>
        <v>10</v>
      </c>
    </row>
    <row r="20" spans="1:7" x14ac:dyDescent="0.25">
      <c r="A20">
        <v>19</v>
      </c>
      <c r="B20">
        <v>110</v>
      </c>
      <c r="C20" s="21" t="s">
        <v>95</v>
      </c>
      <c r="D20" t="s">
        <v>96</v>
      </c>
      <c r="E20">
        <v>8</v>
      </c>
      <c r="F20">
        <v>8</v>
      </c>
      <c r="G20">
        <f>E20+F20</f>
        <v>16</v>
      </c>
    </row>
    <row r="21" spans="1:7" x14ac:dyDescent="0.25">
      <c r="A21">
        <v>20</v>
      </c>
      <c r="C21" s="26" t="s">
        <v>88</v>
      </c>
    </row>
    <row r="22" spans="1:7" x14ac:dyDescent="0.25">
      <c r="A22">
        <v>21</v>
      </c>
      <c r="B22">
        <v>160</v>
      </c>
      <c r="C22" s="22" t="s">
        <v>94</v>
      </c>
      <c r="D22" t="s">
        <v>98</v>
      </c>
      <c r="E22">
        <v>4</v>
      </c>
      <c r="F22">
        <v>6</v>
      </c>
      <c r="G22">
        <f>E22+F22</f>
        <v>10</v>
      </c>
    </row>
    <row r="23" spans="1:7" x14ac:dyDescent="0.25">
      <c r="A23">
        <v>22</v>
      </c>
      <c r="B23">
        <v>105</v>
      </c>
      <c r="C23" s="22" t="s">
        <v>97</v>
      </c>
      <c r="D23" t="s">
        <v>101</v>
      </c>
      <c r="E23">
        <v>4</v>
      </c>
      <c r="F23">
        <v>6</v>
      </c>
      <c r="G23">
        <f>E23+F23</f>
        <v>10</v>
      </c>
    </row>
    <row r="24" spans="1:7" x14ac:dyDescent="0.25">
      <c r="A24">
        <v>23</v>
      </c>
      <c r="B24">
        <v>170</v>
      </c>
      <c r="C24" s="22" t="s">
        <v>60</v>
      </c>
      <c r="D24" t="s">
        <v>102</v>
      </c>
      <c r="E24">
        <v>4</v>
      </c>
      <c r="F24">
        <v>6</v>
      </c>
      <c r="G24">
        <f>E24+F24</f>
        <v>10</v>
      </c>
    </row>
    <row r="25" spans="1:7" x14ac:dyDescent="0.25">
      <c r="A25">
        <v>24</v>
      </c>
      <c r="B25">
        <v>65</v>
      </c>
      <c r="C25" s="22" t="s">
        <v>63</v>
      </c>
      <c r="D25" t="s">
        <v>65</v>
      </c>
      <c r="E25">
        <v>2</v>
      </c>
      <c r="F25">
        <v>6</v>
      </c>
      <c r="G25">
        <f>E25+F25</f>
        <v>8</v>
      </c>
    </row>
    <row r="26" spans="1:7" x14ac:dyDescent="0.25">
      <c r="A26">
        <v>25</v>
      </c>
      <c r="C26" s="27"/>
    </row>
    <row r="27" spans="1:7" x14ac:dyDescent="0.25">
      <c r="A27">
        <v>26</v>
      </c>
      <c r="C27" s="27" t="s">
        <v>110</v>
      </c>
      <c r="E27">
        <f>SUM(E3:E25)</f>
        <v>96</v>
      </c>
      <c r="F27">
        <f>SUM(F3:F25)</f>
        <v>116</v>
      </c>
      <c r="G27">
        <f>E27+F27</f>
        <v>212</v>
      </c>
    </row>
    <row r="28" spans="1:7" x14ac:dyDescent="0.25">
      <c r="A28">
        <v>27</v>
      </c>
      <c r="C28" s="27" t="s">
        <v>111</v>
      </c>
      <c r="E28">
        <f>E27/2</f>
        <v>48</v>
      </c>
      <c r="F28">
        <f>F27/2</f>
        <v>58</v>
      </c>
      <c r="G28">
        <f>E28+F28</f>
        <v>106</v>
      </c>
    </row>
  </sheetData>
  <autoFilter ref="A1:G28" xr:uid="{47A4D79A-FB13-4A11-B625-9CB7BFC6BBEB}">
    <sortState xmlns:xlrd2="http://schemas.microsoft.com/office/spreadsheetml/2017/richdata2" ref="A2:G28">
      <sortCondition ref="A1:A28"/>
    </sortState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57EAD-C812-4E6E-8F67-BDDA4D432BAA}">
  <dimension ref="B1:P53"/>
  <sheetViews>
    <sheetView tabSelected="1" zoomScale="90" zoomScaleNormal="90" zoomScaleSheetLayoutView="70" workbookViewId="0">
      <selection activeCell="X23" sqref="X23"/>
    </sheetView>
  </sheetViews>
  <sheetFormatPr defaultRowHeight="15.75" outlineLevelRow="1" x14ac:dyDescent="0.25"/>
  <cols>
    <col min="2" max="2" width="22.28515625" style="1" bestFit="1" customWidth="1"/>
    <col min="3" max="3" width="4.42578125" style="2" customWidth="1"/>
    <col min="10" max="10" width="9.140625" style="27"/>
  </cols>
  <sheetData>
    <row r="1" spans="2:16" x14ac:dyDescent="0.25">
      <c r="D1" t="s">
        <v>113</v>
      </c>
      <c r="H1" t="s">
        <v>114</v>
      </c>
      <c r="M1" t="s">
        <v>130</v>
      </c>
    </row>
    <row r="2" spans="2:16" x14ac:dyDescent="0.25">
      <c r="B2" s="28"/>
      <c r="C2" s="29" t="s">
        <v>117</v>
      </c>
      <c r="D2" s="3" t="s">
        <v>131</v>
      </c>
      <c r="E2" s="3" t="s">
        <v>133</v>
      </c>
      <c r="F2" s="3" t="s">
        <v>134</v>
      </c>
      <c r="G2" s="3" t="s">
        <v>135</v>
      </c>
      <c r="H2" s="3" t="s">
        <v>131</v>
      </c>
      <c r="I2" s="3" t="s">
        <v>133</v>
      </c>
      <c r="J2" s="3" t="s">
        <v>134</v>
      </c>
      <c r="K2" s="3" t="s">
        <v>135</v>
      </c>
      <c r="L2" s="3" t="s">
        <v>136</v>
      </c>
      <c r="M2" s="3" t="s">
        <v>131</v>
      </c>
      <c r="N2" s="3" t="s">
        <v>132</v>
      </c>
      <c r="O2" s="3" t="s">
        <v>134</v>
      </c>
      <c r="P2" s="3" t="s">
        <v>135</v>
      </c>
    </row>
    <row r="3" spans="2:16" ht="26.1" customHeight="1" x14ac:dyDescent="0.25">
      <c r="B3" s="31" t="s">
        <v>116</v>
      </c>
      <c r="C3" s="29">
        <v>4</v>
      </c>
      <c r="D3" s="3"/>
      <c r="E3" s="3"/>
      <c r="F3" s="3"/>
      <c r="G3" s="3"/>
      <c r="H3" s="3"/>
      <c r="I3" s="3"/>
      <c r="J3" s="30"/>
      <c r="K3" s="3"/>
      <c r="L3" s="3"/>
      <c r="M3" s="3"/>
      <c r="N3" s="3"/>
      <c r="O3" s="3"/>
      <c r="P3" s="3"/>
    </row>
    <row r="4" spans="2:16" ht="26.1" customHeight="1" x14ac:dyDescent="0.25">
      <c r="B4" s="32" t="s">
        <v>58</v>
      </c>
      <c r="C4" s="29">
        <v>4</v>
      </c>
      <c r="D4" s="3"/>
      <c r="E4" s="3"/>
      <c r="F4" s="3"/>
      <c r="G4" s="3"/>
      <c r="H4" s="3"/>
      <c r="I4" s="3"/>
      <c r="J4" s="30"/>
      <c r="K4" s="3"/>
      <c r="L4" s="3"/>
      <c r="M4" s="3"/>
      <c r="N4" s="3"/>
      <c r="O4" s="3"/>
      <c r="P4" s="3"/>
    </row>
    <row r="5" spans="2:16" ht="26.1" hidden="1" customHeight="1" outlineLevel="1" x14ac:dyDescent="0.25">
      <c r="B5" s="32" t="s">
        <v>120</v>
      </c>
      <c r="C5" s="29">
        <v>2</v>
      </c>
      <c r="D5" s="3"/>
      <c r="E5" s="3"/>
      <c r="F5" s="3"/>
      <c r="G5" s="3"/>
      <c r="H5" s="3"/>
      <c r="I5" s="3"/>
      <c r="J5" s="30"/>
      <c r="K5" s="3"/>
      <c r="L5" s="3"/>
      <c r="M5" s="3"/>
      <c r="N5" s="3"/>
      <c r="O5" s="3"/>
      <c r="P5" s="3"/>
    </row>
    <row r="6" spans="2:16" ht="26.1" hidden="1" customHeight="1" outlineLevel="1" x14ac:dyDescent="0.25">
      <c r="B6" s="32" t="s">
        <v>115</v>
      </c>
      <c r="C6" s="29">
        <v>2</v>
      </c>
      <c r="D6" s="3"/>
      <c r="E6" s="3"/>
      <c r="F6" s="3"/>
      <c r="G6" s="3"/>
      <c r="H6" s="3"/>
      <c r="I6" s="3"/>
      <c r="J6" s="30"/>
      <c r="K6" s="3"/>
      <c r="L6" s="3"/>
      <c r="M6" s="3"/>
      <c r="N6" s="3"/>
      <c r="O6" s="3"/>
      <c r="P6" s="3"/>
    </row>
    <row r="7" spans="2:16" ht="26.1" hidden="1" customHeight="1" outlineLevel="1" x14ac:dyDescent="0.25">
      <c r="B7" s="32" t="s">
        <v>137</v>
      </c>
      <c r="C7" s="29"/>
      <c r="D7" s="3"/>
      <c r="E7" s="3"/>
      <c r="F7" s="3"/>
      <c r="G7" s="3"/>
      <c r="H7" s="3"/>
      <c r="I7" s="3"/>
      <c r="J7" s="30"/>
      <c r="K7" s="3"/>
      <c r="L7" s="3"/>
      <c r="M7" s="3"/>
      <c r="N7" s="3"/>
      <c r="O7" s="3"/>
      <c r="P7" s="3"/>
    </row>
    <row r="8" spans="2:16" ht="26.1" hidden="1" customHeight="1" outlineLevel="1" x14ac:dyDescent="0.25">
      <c r="B8" s="32" t="s">
        <v>138</v>
      </c>
      <c r="C8" s="29"/>
      <c r="D8" s="3"/>
      <c r="E8" s="3"/>
      <c r="F8" s="3"/>
      <c r="G8" s="3"/>
      <c r="H8" s="3"/>
      <c r="I8" s="3"/>
      <c r="J8" s="30"/>
      <c r="K8" s="3"/>
      <c r="L8" s="3"/>
      <c r="M8" s="3"/>
      <c r="N8" s="3"/>
      <c r="O8" s="3"/>
      <c r="P8" s="3"/>
    </row>
    <row r="9" spans="2:16" ht="26.1" hidden="1" customHeight="1" outlineLevel="1" x14ac:dyDescent="0.25">
      <c r="B9" s="32" t="s">
        <v>139</v>
      </c>
      <c r="C9" s="29"/>
      <c r="D9" s="3"/>
      <c r="E9" s="3"/>
      <c r="F9" s="3"/>
      <c r="G9" s="3"/>
      <c r="H9" s="3"/>
      <c r="I9" s="3"/>
      <c r="J9" s="30"/>
      <c r="K9" s="3"/>
      <c r="L9" s="3"/>
      <c r="M9" s="3"/>
      <c r="N9" s="3"/>
      <c r="O9" s="3"/>
      <c r="P9" s="3"/>
    </row>
    <row r="10" spans="2:16" ht="26.1" customHeight="1" collapsed="1" x14ac:dyDescent="0.25">
      <c r="B10" s="33" t="s">
        <v>62</v>
      </c>
      <c r="C10" s="29">
        <v>8</v>
      </c>
      <c r="D10" s="3"/>
      <c r="E10" s="3"/>
      <c r="F10" s="3"/>
      <c r="G10" s="3"/>
      <c r="H10" s="3"/>
      <c r="I10" s="3"/>
      <c r="J10" s="30"/>
      <c r="K10" s="3"/>
      <c r="L10" s="3"/>
      <c r="M10" s="3"/>
      <c r="N10" s="3"/>
      <c r="O10" s="3"/>
      <c r="P10" s="3"/>
    </row>
    <row r="11" spans="2:16" ht="26.1" hidden="1" customHeight="1" outlineLevel="1" x14ac:dyDescent="0.25">
      <c r="B11" s="33" t="s">
        <v>118</v>
      </c>
      <c r="C11" s="29">
        <v>2</v>
      </c>
      <c r="D11" s="3"/>
      <c r="E11" s="3"/>
      <c r="F11" s="3"/>
      <c r="G11" s="3"/>
      <c r="H11" s="3"/>
      <c r="I11" s="3"/>
      <c r="J11" s="30"/>
      <c r="K11" s="3"/>
      <c r="L11" s="3"/>
      <c r="M11" s="3"/>
      <c r="N11" s="3"/>
      <c r="O11" s="3"/>
      <c r="P11" s="3"/>
    </row>
    <row r="12" spans="2:16" ht="26.1" hidden="1" customHeight="1" outlineLevel="1" x14ac:dyDescent="0.25">
      <c r="B12" s="33" t="s">
        <v>119</v>
      </c>
      <c r="C12" s="29">
        <v>2</v>
      </c>
      <c r="D12" s="3"/>
      <c r="E12" s="3"/>
      <c r="F12" s="3"/>
      <c r="G12" s="3"/>
      <c r="H12" s="3"/>
      <c r="I12" s="3"/>
      <c r="J12" s="30"/>
      <c r="K12" s="3"/>
      <c r="L12" s="3"/>
      <c r="M12" s="3"/>
      <c r="N12" s="3"/>
      <c r="O12" s="3"/>
      <c r="P12" s="3"/>
    </row>
    <row r="13" spans="2:16" ht="26.1" hidden="1" customHeight="1" outlineLevel="1" x14ac:dyDescent="0.25">
      <c r="B13" s="33" t="s">
        <v>121</v>
      </c>
      <c r="C13" s="29">
        <v>2</v>
      </c>
      <c r="D13" s="3"/>
      <c r="E13" s="3"/>
      <c r="F13" s="3"/>
      <c r="G13" s="3"/>
      <c r="H13" s="3"/>
      <c r="I13" s="3"/>
      <c r="J13" s="30"/>
      <c r="K13" s="3"/>
      <c r="L13" s="3"/>
      <c r="M13" s="3"/>
      <c r="N13" s="3"/>
      <c r="O13" s="3"/>
      <c r="P13" s="3"/>
    </row>
    <row r="14" spans="2:16" ht="26.1" hidden="1" customHeight="1" outlineLevel="1" x14ac:dyDescent="0.25">
      <c r="B14" s="33" t="s">
        <v>36</v>
      </c>
      <c r="C14" s="29">
        <v>2</v>
      </c>
      <c r="D14" s="3"/>
      <c r="E14" s="3"/>
      <c r="F14" s="3"/>
      <c r="G14" s="3"/>
      <c r="H14" s="3"/>
      <c r="I14" s="3"/>
      <c r="J14" s="30"/>
      <c r="K14" s="3"/>
      <c r="L14" s="3"/>
      <c r="M14" s="3"/>
      <c r="N14" s="3"/>
      <c r="O14" s="3"/>
      <c r="P14" s="3"/>
    </row>
    <row r="15" spans="2:16" ht="26.1" customHeight="1" collapsed="1" x14ac:dyDescent="0.25">
      <c r="B15" s="33" t="s">
        <v>64</v>
      </c>
      <c r="C15" s="29">
        <v>6</v>
      </c>
      <c r="D15" s="3"/>
      <c r="E15" s="3"/>
      <c r="F15" s="3"/>
      <c r="G15" s="3"/>
      <c r="H15" s="3"/>
      <c r="I15" s="3"/>
      <c r="J15" s="30"/>
      <c r="K15" s="3"/>
      <c r="L15" s="3"/>
      <c r="M15" s="3"/>
      <c r="N15" s="3"/>
      <c r="O15" s="3"/>
      <c r="P15" s="3"/>
    </row>
    <row r="16" spans="2:16" ht="26.1" hidden="1" customHeight="1" outlineLevel="1" x14ac:dyDescent="0.25">
      <c r="B16" s="33" t="s">
        <v>123</v>
      </c>
      <c r="C16" s="29">
        <v>1</v>
      </c>
      <c r="D16" s="3"/>
      <c r="E16" s="3"/>
      <c r="F16" s="3"/>
      <c r="G16" s="3"/>
      <c r="H16" s="3"/>
      <c r="I16" s="3"/>
      <c r="J16" s="30"/>
      <c r="K16" s="3"/>
      <c r="L16" s="3"/>
      <c r="M16" s="3"/>
      <c r="N16" s="3"/>
      <c r="O16" s="3"/>
      <c r="P16" s="3"/>
    </row>
    <row r="17" spans="2:16" ht="26.1" hidden="1" customHeight="1" outlineLevel="1" x14ac:dyDescent="0.25">
      <c r="B17" s="33" t="s">
        <v>122</v>
      </c>
      <c r="C17" s="29">
        <v>1</v>
      </c>
      <c r="D17" s="3"/>
      <c r="E17" s="3"/>
      <c r="F17" s="3"/>
      <c r="G17" s="3"/>
      <c r="H17" s="3"/>
      <c r="I17" s="3"/>
      <c r="J17" s="30"/>
      <c r="K17" s="3"/>
      <c r="L17" s="3"/>
      <c r="M17" s="3"/>
      <c r="N17" s="3"/>
      <c r="O17" s="3"/>
      <c r="P17" s="3"/>
    </row>
    <row r="18" spans="2:16" ht="26.1" hidden="1" customHeight="1" outlineLevel="1" x14ac:dyDescent="0.25">
      <c r="B18" s="33" t="s">
        <v>124</v>
      </c>
      <c r="C18" s="29">
        <v>2</v>
      </c>
      <c r="D18" s="3"/>
      <c r="E18" s="3"/>
      <c r="F18" s="3"/>
      <c r="G18" s="3"/>
      <c r="H18" s="3"/>
      <c r="I18" s="3"/>
      <c r="J18" s="30"/>
      <c r="K18" s="3"/>
      <c r="L18" s="3"/>
      <c r="M18" s="3"/>
      <c r="N18" s="3"/>
      <c r="O18" s="3"/>
      <c r="P18" s="3"/>
    </row>
    <row r="19" spans="2:16" ht="26.1" hidden="1" customHeight="1" outlineLevel="1" x14ac:dyDescent="0.25">
      <c r="B19" s="33" t="s">
        <v>119</v>
      </c>
      <c r="C19" s="29">
        <v>2</v>
      </c>
      <c r="D19" s="3"/>
      <c r="E19" s="3"/>
      <c r="F19" s="3"/>
      <c r="G19" s="3"/>
      <c r="H19" s="3"/>
      <c r="I19" s="3"/>
      <c r="J19" s="30"/>
      <c r="K19" s="3"/>
      <c r="L19" s="3"/>
      <c r="M19" s="3"/>
      <c r="N19" s="3"/>
      <c r="O19" s="3"/>
      <c r="P19" s="3"/>
    </row>
    <row r="20" spans="2:16" ht="26.1" customHeight="1" collapsed="1" x14ac:dyDescent="0.25">
      <c r="B20" s="33" t="s">
        <v>84</v>
      </c>
      <c r="C20" s="29">
        <v>4</v>
      </c>
      <c r="D20" s="3"/>
      <c r="E20" s="3"/>
      <c r="F20" s="3"/>
      <c r="G20" s="3"/>
      <c r="H20" s="3"/>
      <c r="I20" s="3"/>
      <c r="J20" s="30"/>
      <c r="K20" s="3"/>
      <c r="L20" s="3"/>
      <c r="M20" s="3"/>
      <c r="N20" s="3"/>
      <c r="O20" s="3"/>
      <c r="P20" s="3"/>
    </row>
    <row r="21" spans="2:16" ht="26.1" hidden="1" customHeight="1" outlineLevel="1" x14ac:dyDescent="0.25">
      <c r="B21" s="33" t="s">
        <v>125</v>
      </c>
      <c r="C21" s="29">
        <v>2</v>
      </c>
      <c r="D21" s="3"/>
      <c r="E21" s="3"/>
      <c r="F21" s="3"/>
      <c r="G21" s="3"/>
      <c r="H21" s="3"/>
      <c r="I21" s="3"/>
      <c r="J21" s="30"/>
      <c r="K21" s="3"/>
      <c r="L21" s="3"/>
      <c r="M21" s="3"/>
      <c r="N21" s="3"/>
      <c r="O21" s="3"/>
      <c r="P21" s="3"/>
    </row>
    <row r="22" spans="2:16" ht="26.1" hidden="1" customHeight="1" outlineLevel="1" x14ac:dyDescent="0.25">
      <c r="B22" s="33" t="s">
        <v>119</v>
      </c>
      <c r="C22" s="29">
        <v>2</v>
      </c>
      <c r="D22" s="3"/>
      <c r="E22" s="3"/>
      <c r="F22" s="3"/>
      <c r="G22" s="3"/>
      <c r="H22" s="3"/>
      <c r="I22" s="3"/>
      <c r="J22" s="30"/>
      <c r="K22" s="3"/>
      <c r="L22" s="3"/>
      <c r="M22" s="3"/>
      <c r="N22" s="3"/>
      <c r="O22" s="3"/>
      <c r="P22" s="3"/>
    </row>
    <row r="23" spans="2:16" ht="26.1" customHeight="1" collapsed="1" x14ac:dyDescent="0.25">
      <c r="B23" s="34" t="s">
        <v>62</v>
      </c>
      <c r="C23" s="29">
        <v>4</v>
      </c>
      <c r="D23" s="3"/>
      <c r="E23" s="3"/>
      <c r="F23" s="3"/>
      <c r="G23" s="3"/>
      <c r="H23" s="3"/>
      <c r="I23" s="3"/>
      <c r="J23" s="30"/>
      <c r="K23" s="3"/>
      <c r="L23" s="3"/>
      <c r="M23" s="3"/>
      <c r="N23" s="3"/>
      <c r="O23" s="3"/>
      <c r="P23" s="3"/>
    </row>
    <row r="24" spans="2:16" ht="26.1" hidden="1" customHeight="1" outlineLevel="1" x14ac:dyDescent="0.25">
      <c r="B24" s="34" t="s">
        <v>126</v>
      </c>
      <c r="C24" s="29">
        <v>2</v>
      </c>
      <c r="D24" s="3"/>
      <c r="E24" s="3"/>
      <c r="F24" s="3"/>
      <c r="G24" s="3"/>
      <c r="H24" s="3"/>
      <c r="I24" s="3"/>
      <c r="J24" s="30"/>
      <c r="K24" s="3"/>
      <c r="L24" s="3"/>
      <c r="M24" s="3"/>
      <c r="N24" s="3"/>
      <c r="O24" s="3"/>
      <c r="P24" s="3"/>
    </row>
    <row r="25" spans="2:16" ht="26.1" hidden="1" customHeight="1" outlineLevel="1" x14ac:dyDescent="0.25">
      <c r="B25" s="34" t="s">
        <v>119</v>
      </c>
      <c r="C25" s="29">
        <v>2</v>
      </c>
      <c r="D25" s="3"/>
      <c r="E25" s="3"/>
      <c r="F25" s="3"/>
      <c r="G25" s="3"/>
      <c r="H25" s="3"/>
      <c r="I25" s="3"/>
      <c r="J25" s="30"/>
      <c r="K25" s="3"/>
      <c r="L25" s="3"/>
      <c r="M25" s="3"/>
      <c r="N25" s="3"/>
      <c r="O25" s="3"/>
      <c r="P25" s="3"/>
    </row>
    <row r="26" spans="2:16" ht="26.1" customHeight="1" collapsed="1" x14ac:dyDescent="0.25">
      <c r="B26" s="35" t="s">
        <v>63</v>
      </c>
      <c r="C26" s="29">
        <v>2</v>
      </c>
      <c r="D26" s="3"/>
      <c r="E26" s="3"/>
      <c r="F26" s="3"/>
      <c r="G26" s="3"/>
      <c r="H26" s="3"/>
      <c r="I26" s="3"/>
      <c r="J26" s="30"/>
      <c r="K26" s="3"/>
      <c r="L26" s="3"/>
      <c r="M26" s="3"/>
      <c r="N26" s="3"/>
      <c r="O26" s="3"/>
      <c r="P26" s="3"/>
    </row>
    <row r="27" spans="2:16" ht="26.1" hidden="1" customHeight="1" outlineLevel="1" x14ac:dyDescent="0.25">
      <c r="B27" s="35" t="s">
        <v>127</v>
      </c>
      <c r="C27" s="29">
        <v>1</v>
      </c>
      <c r="D27" s="3"/>
      <c r="E27" s="3"/>
      <c r="F27" s="3"/>
      <c r="G27" s="3"/>
      <c r="H27" s="3"/>
      <c r="I27" s="3"/>
      <c r="J27" s="30"/>
      <c r="K27" s="3"/>
      <c r="L27" s="3"/>
      <c r="M27" s="3"/>
      <c r="N27" s="3"/>
      <c r="O27" s="3"/>
      <c r="P27" s="3"/>
    </row>
    <row r="28" spans="2:16" ht="26.1" hidden="1" customHeight="1" outlineLevel="1" x14ac:dyDescent="0.25">
      <c r="B28" s="35" t="s">
        <v>119</v>
      </c>
      <c r="C28" s="29">
        <v>1</v>
      </c>
      <c r="D28" s="3"/>
      <c r="E28" s="3"/>
      <c r="F28" s="3"/>
      <c r="G28" s="3"/>
      <c r="H28" s="3"/>
      <c r="I28" s="3"/>
      <c r="J28" s="30"/>
      <c r="K28" s="3"/>
      <c r="L28" s="3"/>
      <c r="M28" s="3"/>
      <c r="N28" s="3"/>
      <c r="O28" s="3"/>
      <c r="P28" s="3"/>
    </row>
    <row r="29" spans="2:16" ht="26.1" customHeight="1" collapsed="1" x14ac:dyDescent="0.25">
      <c r="B29" s="34" t="s">
        <v>86</v>
      </c>
      <c r="C29" s="29">
        <v>4</v>
      </c>
      <c r="D29" s="3"/>
      <c r="E29" s="3"/>
      <c r="F29" s="3"/>
      <c r="G29" s="3"/>
      <c r="H29" s="3"/>
      <c r="I29" s="3"/>
      <c r="J29" s="30"/>
      <c r="K29" s="3"/>
      <c r="L29" s="3"/>
      <c r="M29" s="3"/>
      <c r="N29" s="3"/>
      <c r="O29" s="3"/>
      <c r="P29" s="3"/>
    </row>
    <row r="30" spans="2:16" ht="26.1" hidden="1" customHeight="1" outlineLevel="1" x14ac:dyDescent="0.25">
      <c r="B30" s="34" t="s">
        <v>128</v>
      </c>
      <c r="C30" s="29">
        <v>2</v>
      </c>
      <c r="D30" s="3"/>
      <c r="E30" s="3"/>
      <c r="F30" s="3"/>
      <c r="G30" s="3"/>
      <c r="H30" s="3"/>
      <c r="I30" s="3"/>
      <c r="J30" s="30"/>
      <c r="K30" s="3"/>
      <c r="L30" s="3"/>
      <c r="M30" s="3"/>
      <c r="N30" s="3"/>
      <c r="O30" s="3"/>
      <c r="P30" s="3"/>
    </row>
    <row r="31" spans="2:16" ht="26.1" hidden="1" customHeight="1" outlineLevel="1" x14ac:dyDescent="0.25">
      <c r="B31" s="34" t="s">
        <v>129</v>
      </c>
      <c r="C31" s="29">
        <v>2</v>
      </c>
      <c r="D31" s="3"/>
      <c r="E31" s="3"/>
      <c r="F31" s="3"/>
      <c r="G31" s="3"/>
      <c r="H31" s="3"/>
      <c r="I31" s="3"/>
      <c r="J31" s="30"/>
      <c r="K31" s="3"/>
      <c r="L31" s="3"/>
      <c r="M31" s="3"/>
      <c r="N31" s="3"/>
      <c r="O31" s="3"/>
      <c r="P31" s="3"/>
    </row>
    <row r="32" spans="2:16" ht="26.1" hidden="1" customHeight="1" outlineLevel="1" x14ac:dyDescent="0.25">
      <c r="B32" s="34" t="s">
        <v>140</v>
      </c>
      <c r="C32" s="29"/>
      <c r="D32" s="3"/>
      <c r="E32" s="3"/>
      <c r="F32" s="3"/>
      <c r="G32" s="3"/>
      <c r="H32" s="3"/>
      <c r="I32" s="3"/>
      <c r="J32" s="30"/>
      <c r="K32" s="3"/>
      <c r="L32" s="3"/>
      <c r="M32" s="3"/>
      <c r="N32" s="3"/>
      <c r="O32" s="3"/>
      <c r="P32" s="3"/>
    </row>
    <row r="33" spans="2:16" ht="26.1" hidden="1" customHeight="1" outlineLevel="1" x14ac:dyDescent="0.25">
      <c r="B33" s="34" t="s">
        <v>141</v>
      </c>
      <c r="C33" s="29"/>
      <c r="D33" s="3"/>
      <c r="E33" s="3"/>
      <c r="F33" s="3"/>
      <c r="G33" s="3"/>
      <c r="H33" s="3"/>
      <c r="I33" s="3"/>
      <c r="J33" s="30"/>
      <c r="K33" s="3"/>
      <c r="L33" s="3"/>
      <c r="M33" s="3"/>
      <c r="N33" s="3"/>
      <c r="O33" s="3"/>
      <c r="P33" s="3"/>
    </row>
    <row r="34" spans="2:16" ht="26.1" customHeight="1" collapsed="1" x14ac:dyDescent="0.25">
      <c r="B34" s="32" t="s">
        <v>93</v>
      </c>
      <c r="C34" s="29">
        <v>6</v>
      </c>
      <c r="D34" s="3"/>
      <c r="E34" s="3"/>
      <c r="F34" s="3"/>
      <c r="G34" s="3"/>
      <c r="H34" s="3"/>
      <c r="I34" s="3"/>
      <c r="J34" s="30"/>
      <c r="K34" s="3"/>
      <c r="L34" s="3"/>
      <c r="M34" s="3"/>
      <c r="N34" s="3"/>
      <c r="O34" s="3"/>
      <c r="P34" s="3"/>
    </row>
    <row r="35" spans="2:16" ht="26.1" hidden="1" customHeight="1" outlineLevel="1" x14ac:dyDescent="0.25">
      <c r="B35" s="32" t="s">
        <v>142</v>
      </c>
      <c r="C35" s="29">
        <v>2</v>
      </c>
      <c r="D35" s="3"/>
      <c r="E35" s="3"/>
      <c r="F35" s="3"/>
      <c r="G35" s="3"/>
      <c r="H35" s="3"/>
      <c r="I35" s="3"/>
      <c r="J35" s="30"/>
      <c r="K35" s="3"/>
      <c r="L35" s="3"/>
      <c r="M35" s="3"/>
      <c r="N35" s="3"/>
      <c r="O35" s="3"/>
      <c r="P35" s="3"/>
    </row>
    <row r="36" spans="2:16" ht="26.1" hidden="1" customHeight="1" outlineLevel="1" x14ac:dyDescent="0.25">
      <c r="B36" s="32" t="s">
        <v>143</v>
      </c>
      <c r="C36" s="29">
        <v>2</v>
      </c>
      <c r="D36" s="3"/>
      <c r="E36" s="3"/>
      <c r="F36" s="3"/>
      <c r="G36" s="3"/>
      <c r="H36" s="3"/>
      <c r="I36" s="3"/>
      <c r="J36" s="30"/>
      <c r="K36" s="3"/>
      <c r="L36" s="3"/>
      <c r="M36" s="3"/>
      <c r="N36" s="3"/>
      <c r="O36" s="3"/>
      <c r="P36" s="3"/>
    </row>
    <row r="37" spans="2:16" ht="26.1" hidden="1" customHeight="1" outlineLevel="1" x14ac:dyDescent="0.25">
      <c r="B37" s="32" t="s">
        <v>144</v>
      </c>
      <c r="C37" s="29">
        <v>2</v>
      </c>
      <c r="D37" s="3"/>
      <c r="E37" s="3"/>
      <c r="F37" s="3"/>
      <c r="G37" s="3"/>
      <c r="H37" s="3"/>
      <c r="I37" s="3"/>
      <c r="J37" s="30"/>
      <c r="K37" s="3"/>
      <c r="L37" s="3"/>
      <c r="M37" s="3"/>
      <c r="N37" s="3"/>
      <c r="O37" s="3"/>
      <c r="P37" s="3"/>
    </row>
    <row r="38" spans="2:16" ht="26.1" customHeight="1" collapsed="1" x14ac:dyDescent="0.25">
      <c r="B38" s="34" t="s">
        <v>83</v>
      </c>
      <c r="C38" s="29">
        <v>4</v>
      </c>
      <c r="D38" s="3"/>
      <c r="E38" s="3"/>
      <c r="F38" s="3"/>
      <c r="G38" s="3"/>
      <c r="H38" s="3"/>
      <c r="I38" s="3"/>
      <c r="J38" s="30"/>
      <c r="K38" s="3"/>
      <c r="L38" s="3"/>
      <c r="M38" s="3"/>
      <c r="N38" s="3"/>
      <c r="O38" s="3"/>
      <c r="P38" s="3"/>
    </row>
    <row r="39" spans="2:16" ht="26.1" hidden="1" customHeight="1" outlineLevel="1" x14ac:dyDescent="0.25">
      <c r="B39" s="34" t="s">
        <v>145</v>
      </c>
      <c r="C39" s="29"/>
      <c r="D39" s="3"/>
      <c r="E39" s="3"/>
      <c r="F39" s="3"/>
      <c r="G39" s="3"/>
      <c r="H39" s="3"/>
      <c r="I39" s="3"/>
      <c r="J39" s="30"/>
      <c r="K39" s="3"/>
      <c r="L39" s="3"/>
      <c r="M39" s="3"/>
      <c r="N39" s="3"/>
      <c r="O39" s="3"/>
      <c r="P39" s="3"/>
    </row>
    <row r="40" spans="2:16" ht="26.1" hidden="1" customHeight="1" outlineLevel="1" x14ac:dyDescent="0.25">
      <c r="B40" s="34" t="s">
        <v>119</v>
      </c>
      <c r="C40" s="29"/>
      <c r="D40" s="3"/>
      <c r="E40" s="3"/>
      <c r="F40" s="3"/>
      <c r="G40" s="3"/>
      <c r="H40" s="3"/>
      <c r="I40" s="3"/>
      <c r="J40" s="30"/>
      <c r="K40" s="3"/>
      <c r="L40" s="3"/>
      <c r="M40" s="3"/>
      <c r="N40" s="3"/>
      <c r="O40" s="3"/>
      <c r="P40" s="3"/>
    </row>
    <row r="41" spans="2:16" ht="26.1" hidden="1" customHeight="1" outlineLevel="1" x14ac:dyDescent="0.25">
      <c r="B41" s="34" t="s">
        <v>146</v>
      </c>
      <c r="C41" s="29"/>
      <c r="D41" s="3"/>
      <c r="E41" s="3"/>
      <c r="F41" s="3"/>
      <c r="G41" s="3"/>
      <c r="H41" s="3"/>
      <c r="I41" s="3"/>
      <c r="J41" s="30"/>
      <c r="K41" s="3"/>
      <c r="L41" s="3"/>
      <c r="M41" s="3"/>
      <c r="N41" s="3"/>
      <c r="O41" s="3"/>
      <c r="P41" s="3"/>
    </row>
    <row r="42" spans="2:16" ht="26.1" hidden="1" customHeight="1" outlineLevel="1" x14ac:dyDescent="0.25">
      <c r="B42" s="34" t="s">
        <v>147</v>
      </c>
      <c r="C42" s="29"/>
      <c r="D42" s="3"/>
      <c r="E42" s="3"/>
      <c r="F42" s="3"/>
      <c r="G42" s="3"/>
      <c r="H42" s="3"/>
      <c r="I42" s="3"/>
      <c r="J42" s="30"/>
      <c r="K42" s="3"/>
      <c r="L42" s="3"/>
      <c r="M42" s="3"/>
      <c r="N42" s="3"/>
      <c r="O42" s="3"/>
      <c r="P42" s="3"/>
    </row>
    <row r="43" spans="2:16" ht="26.1" customHeight="1" collapsed="1" x14ac:dyDescent="0.25">
      <c r="B43" s="33" t="s">
        <v>91</v>
      </c>
      <c r="C43" s="29">
        <v>4</v>
      </c>
      <c r="D43" s="3"/>
      <c r="E43" s="3"/>
      <c r="F43" s="3"/>
      <c r="G43" s="3"/>
      <c r="H43" s="3"/>
      <c r="I43" s="3"/>
      <c r="J43" s="30"/>
      <c r="K43" s="3"/>
      <c r="L43" s="3"/>
      <c r="M43" s="3"/>
      <c r="N43" s="3"/>
      <c r="O43" s="3"/>
      <c r="P43" s="3"/>
    </row>
    <row r="44" spans="2:16" ht="26.1" customHeight="1" x14ac:dyDescent="0.25">
      <c r="B44" s="35" t="s">
        <v>97</v>
      </c>
      <c r="C44" s="29">
        <v>4</v>
      </c>
      <c r="D44" s="3"/>
      <c r="E44" s="3"/>
      <c r="F44" s="3"/>
      <c r="G44" s="3"/>
      <c r="H44" s="3"/>
      <c r="I44" s="3"/>
      <c r="J44" s="30"/>
      <c r="K44" s="3"/>
      <c r="L44" s="3"/>
      <c r="M44" s="3"/>
      <c r="N44" s="3"/>
      <c r="O44" s="3"/>
      <c r="P44" s="3"/>
    </row>
    <row r="45" spans="2:16" ht="26.1" customHeight="1" x14ac:dyDescent="0.25">
      <c r="B45" s="34" t="s">
        <v>95</v>
      </c>
      <c r="C45" s="29">
        <v>8</v>
      </c>
      <c r="D45" s="3"/>
      <c r="E45" s="3"/>
      <c r="F45" s="3"/>
      <c r="G45" s="3"/>
      <c r="H45" s="3"/>
      <c r="I45" s="3"/>
      <c r="J45" s="30"/>
      <c r="K45" s="3"/>
      <c r="L45" s="3"/>
      <c r="M45" s="3"/>
      <c r="N45" s="3"/>
      <c r="O45" s="3"/>
      <c r="P45" s="3"/>
    </row>
    <row r="46" spans="2:16" ht="26.1" customHeight="1" x14ac:dyDescent="0.25">
      <c r="B46" s="32" t="s">
        <v>99</v>
      </c>
      <c r="C46" s="29">
        <v>4</v>
      </c>
      <c r="D46" s="3"/>
      <c r="E46" s="3"/>
      <c r="F46" s="3"/>
      <c r="G46" s="3"/>
      <c r="H46" s="3"/>
      <c r="I46" s="3"/>
      <c r="J46" s="30"/>
      <c r="K46" s="3"/>
      <c r="L46" s="3"/>
      <c r="M46" s="3"/>
      <c r="N46" s="3"/>
      <c r="O46" s="3"/>
      <c r="P46" s="3"/>
    </row>
    <row r="47" spans="2:16" ht="26.1" customHeight="1" x14ac:dyDescent="0.25">
      <c r="B47" s="32" t="s">
        <v>78</v>
      </c>
      <c r="C47" s="29">
        <v>6</v>
      </c>
      <c r="D47" s="3"/>
      <c r="E47" s="3"/>
      <c r="F47" s="3"/>
      <c r="G47" s="3"/>
      <c r="H47" s="3"/>
      <c r="I47" s="3"/>
      <c r="J47" s="30"/>
      <c r="K47" s="3"/>
      <c r="L47" s="3"/>
      <c r="M47" s="3"/>
      <c r="N47" s="3"/>
      <c r="O47" s="3"/>
      <c r="P47" s="3"/>
    </row>
    <row r="48" spans="2:16" ht="26.1" customHeight="1" x14ac:dyDescent="0.25">
      <c r="B48" s="32" t="s">
        <v>75</v>
      </c>
      <c r="C48" s="29">
        <v>4</v>
      </c>
      <c r="D48" s="3"/>
      <c r="E48" s="3"/>
      <c r="F48" s="3"/>
      <c r="G48" s="3"/>
      <c r="H48" s="3"/>
      <c r="I48" s="3"/>
      <c r="J48" s="30"/>
      <c r="K48" s="3"/>
      <c r="L48" s="3"/>
      <c r="M48" s="3"/>
      <c r="N48" s="3"/>
      <c r="O48" s="3"/>
      <c r="P48" s="3"/>
    </row>
    <row r="49" spans="2:16" ht="26.1" customHeight="1" x14ac:dyDescent="0.25">
      <c r="B49" s="32" t="s">
        <v>79</v>
      </c>
      <c r="C49" s="29">
        <v>8</v>
      </c>
      <c r="D49" s="3"/>
      <c r="E49" s="3"/>
      <c r="F49" s="3"/>
      <c r="G49" s="3"/>
      <c r="H49" s="3"/>
      <c r="I49" s="3"/>
      <c r="J49" s="30"/>
      <c r="K49" s="3"/>
      <c r="L49" s="3"/>
      <c r="M49" s="3"/>
      <c r="N49" s="3"/>
      <c r="O49" s="3"/>
      <c r="P49" s="3"/>
    </row>
    <row r="50" spans="2:16" ht="26.1" customHeight="1" x14ac:dyDescent="0.25">
      <c r="B50" s="33" t="s">
        <v>89</v>
      </c>
      <c r="C50" s="29">
        <v>8</v>
      </c>
      <c r="D50" s="3"/>
      <c r="E50" s="3"/>
      <c r="F50" s="3"/>
      <c r="G50" s="3"/>
      <c r="H50" s="3"/>
      <c r="I50" s="3"/>
      <c r="J50" s="30"/>
      <c r="K50" s="3"/>
      <c r="L50" s="3"/>
      <c r="M50" s="3"/>
      <c r="N50" s="3"/>
      <c r="O50" s="3"/>
      <c r="P50" s="3"/>
    </row>
    <row r="51" spans="2:16" ht="26.1" customHeight="1" x14ac:dyDescent="0.25">
      <c r="B51" s="35" t="s">
        <v>94</v>
      </c>
      <c r="C51" s="29">
        <v>4</v>
      </c>
      <c r="D51" s="3"/>
      <c r="E51" s="3"/>
      <c r="F51" s="3"/>
      <c r="G51" s="3"/>
      <c r="H51" s="3"/>
      <c r="I51" s="3"/>
      <c r="J51" s="30"/>
      <c r="K51" s="3"/>
      <c r="L51" s="3"/>
      <c r="M51" s="3"/>
      <c r="N51" s="3"/>
      <c r="O51" s="3"/>
      <c r="P51" s="3"/>
    </row>
    <row r="52" spans="2:16" ht="26.1" customHeight="1" x14ac:dyDescent="0.25">
      <c r="B52" s="35" t="s">
        <v>60</v>
      </c>
      <c r="C52" s="29">
        <v>4</v>
      </c>
      <c r="D52" s="3"/>
      <c r="E52" s="3"/>
      <c r="F52" s="3"/>
      <c r="G52" s="3"/>
      <c r="H52" s="3"/>
      <c r="I52" s="3"/>
      <c r="J52" s="30"/>
      <c r="K52" s="3"/>
      <c r="L52" s="3"/>
      <c r="M52" s="3"/>
      <c r="N52" s="3"/>
      <c r="O52" s="3"/>
      <c r="P52" s="3"/>
    </row>
    <row r="53" spans="2:16" ht="26.1" customHeight="1" x14ac:dyDescent="0.25">
      <c r="B53" s="32" t="s">
        <v>57</v>
      </c>
      <c r="C53" s="29">
        <v>2</v>
      </c>
      <c r="D53" s="3"/>
      <c r="E53" s="3"/>
      <c r="F53" s="3"/>
      <c r="G53" s="3"/>
      <c r="H53" s="3"/>
      <c r="I53" s="3"/>
      <c r="J53" s="30"/>
      <c r="K53" s="3"/>
      <c r="L53" s="3"/>
      <c r="M53" s="3"/>
      <c r="N53" s="3"/>
      <c r="O53" s="3"/>
      <c r="P53" s="3"/>
    </row>
  </sheetData>
  <phoneticPr fontId="1" type="noConversion"/>
  <pageMargins left="0.7" right="0.7" top="0.75" bottom="0.75" header="0.3" footer="0.3"/>
  <pageSetup paperSize="9" orientation="portrait" horizontalDpi="90" verticalDpi="90" r:id="rId1"/>
  <drawing r:id="rId2"/>
</worksheet>
</file>

<file path=docMetadata/LabelInfo.xml><?xml version="1.0" encoding="utf-8"?>
<clbl:labelList xmlns:clbl="http://schemas.microsoft.com/office/2020/mipLabelMetadata">
  <clbl:label id="{adaf7f72-99af-42e6-a6a5-1768b456778c}" enabled="1" method="Privileged" siteId="{bfaccad2-83f0-478b-a178-9e40a4734846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優照護模式比較</vt:lpstr>
      <vt:lpstr>優照護系統比較</vt:lpstr>
      <vt:lpstr>WBS</vt:lpstr>
      <vt:lpstr>初階甘特圖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Silva He 何易達(FMD-IT)</dc:creator>
  <cp:lastModifiedBy>Souaix Laureaceae</cp:lastModifiedBy>
  <dcterms:created xsi:type="dcterms:W3CDTF">2015-06-05T18:17:20Z</dcterms:created>
  <dcterms:modified xsi:type="dcterms:W3CDTF">2025-09-29T14:24:29Z</dcterms:modified>
</cp:coreProperties>
</file>