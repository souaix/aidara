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idara\note\"/>
    </mc:Choice>
  </mc:AlternateContent>
  <xr:revisionPtr revIDLastSave="0" documentId="13_ncr:1_{8C55BA8F-DAF4-473F-A1D4-4A4A8ACF7DE4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優照護模式比較" sheetId="2" r:id="rId1"/>
    <sheet name="優照護系統比較" sheetId="3" r:id="rId2"/>
    <sheet name="WBS" sheetId="4" r:id="rId3"/>
    <sheet name="初階甘特圖" sheetId="5" r:id="rId4"/>
    <sheet name="初階甘特圖 (2)" sheetId="6" r:id="rId5"/>
    <sheet name="工作表1" sheetId="7" r:id="rId6"/>
  </sheets>
  <definedNames>
    <definedName name="_xlnm._FilterDatabase" localSheetId="2" hidden="1">WBS!$A$1:$G$28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4" l="1"/>
  <c r="F28" i="4" s="1"/>
  <c r="E27" i="4"/>
  <c r="G23" i="4"/>
  <c r="G24" i="4"/>
  <c r="G25" i="4"/>
  <c r="G22" i="4"/>
  <c r="G18" i="4"/>
  <c r="G19" i="4"/>
  <c r="G20" i="4"/>
  <c r="G17" i="4"/>
  <c r="G12" i="4"/>
  <c r="G13" i="4"/>
  <c r="G14" i="4"/>
  <c r="G15" i="4"/>
  <c r="G11" i="4"/>
  <c r="G4" i="4"/>
  <c r="G5" i="4"/>
  <c r="G6" i="4"/>
  <c r="G7" i="4"/>
  <c r="G8" i="4"/>
  <c r="G9" i="4"/>
  <c r="G3" i="4"/>
  <c r="G27" i="4" l="1"/>
  <c r="E28" i="4"/>
  <c r="G28" i="4" s="1"/>
</calcChain>
</file>

<file path=xl/sharedStrings.xml><?xml version="1.0" encoding="utf-8"?>
<sst xmlns="http://schemas.openxmlformats.org/spreadsheetml/2006/main" count="337" uniqueCount="218">
  <si>
    <t>雇主</t>
    <phoneticPr fontId="1" type="noConversion"/>
  </si>
  <si>
    <t>照護員</t>
    <phoneticPr fontId="1" type="noConversion"/>
  </si>
  <si>
    <t>行事曆</t>
    <phoneticPr fontId="1" type="noConversion"/>
  </si>
  <si>
    <t>平台服務費</t>
    <phoneticPr fontId="1" type="noConversion"/>
  </si>
  <si>
    <t>變現模式</t>
    <phoneticPr fontId="1" type="noConversion"/>
  </si>
  <si>
    <t>可預約時間+工作</t>
    <phoneticPr fontId="1" type="noConversion"/>
  </si>
  <si>
    <t>預約時間</t>
    <phoneticPr fontId="1" type="noConversion"/>
  </si>
  <si>
    <t>線上溝通</t>
    <phoneticPr fontId="1" type="noConversion"/>
  </si>
  <si>
    <t>認證方式</t>
    <phoneticPr fontId="1" type="noConversion"/>
  </si>
  <si>
    <t>詳盡資料</t>
    <phoneticPr fontId="1" type="noConversion"/>
  </si>
  <si>
    <t>配對方式</t>
    <phoneticPr fontId="1" type="noConversion"/>
  </si>
  <si>
    <t>金流方式</t>
    <phoneticPr fontId="1" type="noConversion"/>
  </si>
  <si>
    <t>信用卡消費於服務平台</t>
    <phoneticPr fontId="1" type="noConversion"/>
  </si>
  <si>
    <t>月結</t>
    <phoneticPr fontId="1" type="noConversion"/>
  </si>
  <si>
    <t>開啟被搜尋模式、系統自動通知/人工通知</t>
    <phoneticPr fontId="1" type="noConversion"/>
  </si>
  <si>
    <t>詳盡資料、信用卡</t>
    <phoneticPr fontId="1" type="noConversion"/>
  </si>
  <si>
    <t>定價方式</t>
    <phoneticPr fontId="1" type="noConversion"/>
  </si>
  <si>
    <t>平台定價 / 有等級之分</t>
    <phoneticPr fontId="1" type="noConversion"/>
  </si>
  <si>
    <t>成功配對後才可對話，定時或非活躍使用者刪除紀錄</t>
    <phoneticPr fontId="1" type="noConversion"/>
  </si>
  <si>
    <t>無項目選擇</t>
    <phoneticPr fontId="1" type="noConversion"/>
  </si>
  <si>
    <t>僅備註，需再與雇主確認</t>
    <phoneticPr fontId="1" type="noConversion"/>
  </si>
  <si>
    <t>可對照護員評分(無項目)</t>
    <phoneticPr fontId="1" type="noConversion"/>
  </si>
  <si>
    <t>僅被評</t>
    <phoneticPr fontId="1" type="noConversion"/>
  </si>
  <si>
    <t>評價方式</t>
    <phoneticPr fontId="1" type="noConversion"/>
  </si>
  <si>
    <t>配對需求</t>
    <phoneticPr fontId="1" type="noConversion"/>
  </si>
  <si>
    <t>小老闆</t>
    <phoneticPr fontId="1" type="noConversion"/>
  </si>
  <si>
    <t>客戶</t>
    <phoneticPr fontId="1" type="noConversion"/>
  </si>
  <si>
    <t>可主動查找附近照護員/客服人工配對</t>
    <phoneticPr fontId="1" type="noConversion"/>
  </si>
  <si>
    <t>僅備註，需再與客戶確認</t>
    <phoneticPr fontId="1" type="noConversion"/>
  </si>
  <si>
    <t>平台訂閱費</t>
    <phoneticPr fontId="1" type="noConversion"/>
  </si>
  <si>
    <t>上傳證明文件、人工認證</t>
    <phoneticPr fontId="1" type="noConversion"/>
  </si>
  <si>
    <t>-</t>
    <phoneticPr fontId="1" type="noConversion"/>
  </si>
  <si>
    <t>自定價，定價區間設定於系統</t>
    <phoneticPr fontId="1" type="noConversion"/>
  </si>
  <si>
    <t>可對小老闆評分，分3+1項</t>
    <phoneticPr fontId="1" type="noConversion"/>
  </si>
  <si>
    <t>可對客戶評分</t>
    <phoneticPr fontId="1" type="noConversion"/>
  </si>
  <si>
    <t>自行安排，一張需求單有效期限為七天</t>
    <phoneticPr fontId="1" type="noConversion"/>
  </si>
  <si>
    <t>個人黃頁</t>
    <phoneticPr fontId="1" type="noConversion"/>
  </si>
  <si>
    <t>無</t>
    <phoneticPr fontId="1" type="noConversion"/>
  </si>
  <si>
    <t>使用信用卡訂閱</t>
    <phoneticPr fontId="1" type="noConversion"/>
  </si>
  <si>
    <t>有</t>
    <phoneticPr fontId="1" type="noConversion"/>
  </si>
  <si>
    <t>優照護</t>
    <phoneticPr fontId="1" type="noConversion"/>
  </si>
  <si>
    <t>Service Link</t>
    <phoneticPr fontId="1" type="noConversion"/>
  </si>
  <si>
    <t>核心程式</t>
    <phoneticPr fontId="1" type="noConversion"/>
  </si>
  <si>
    <t>網站僅導覽，主要使用雇主/照護員 APP</t>
    <phoneticPr fontId="1" type="noConversion"/>
  </si>
  <si>
    <t>程式碼架構</t>
    <phoneticPr fontId="1" type="noConversion"/>
  </si>
  <si>
    <t>主要使用網站</t>
    <phoneticPr fontId="1" type="noConversion"/>
  </si>
  <si>
    <t>DDD+Clean，後端為獨立API</t>
    <phoneticPr fontId="1" type="noConversion"/>
  </si>
  <si>
    <t>程式語言</t>
    <phoneticPr fontId="1" type="noConversion"/>
  </si>
  <si>
    <t>基本情況描述</t>
    <phoneticPr fontId="1" type="noConversion"/>
  </si>
  <si>
    <t>伺服器系統</t>
    <phoneticPr fontId="1" type="noConversion"/>
  </si>
  <si>
    <t>Ubuntu + Docker</t>
    <phoneticPr fontId="1" type="noConversion"/>
  </si>
  <si>
    <t>.Net Core</t>
    <phoneticPr fontId="1" type="noConversion"/>
  </si>
  <si>
    <t>伺服器規格</t>
    <phoneticPr fontId="1" type="noConversion"/>
  </si>
  <si>
    <t>資料庫系統</t>
    <phoneticPr fontId="1" type="noConversion"/>
  </si>
  <si>
    <t>PostgreSQL</t>
    <phoneticPr fontId="1" type="noConversion"/>
  </si>
  <si>
    <t>小老闆模組</t>
    <phoneticPr fontId="1" type="noConversion"/>
  </si>
  <si>
    <t>共同模組</t>
    <phoneticPr fontId="1" type="noConversion"/>
  </si>
  <si>
    <t>使用者權限模組</t>
    <phoneticPr fontId="1" type="noConversion"/>
  </si>
  <si>
    <t>使用者基本模組</t>
    <phoneticPr fontId="1" type="noConversion"/>
  </si>
  <si>
    <t>登入 / 資料填寫</t>
    <phoneticPr fontId="1" type="noConversion"/>
  </si>
  <si>
    <t>使用者行為統計模組</t>
    <phoneticPr fontId="1" type="noConversion"/>
  </si>
  <si>
    <t>客戶與小老闆各自權限等級</t>
    <phoneticPr fontId="1" type="noConversion"/>
  </si>
  <si>
    <t>註冊模組</t>
    <phoneticPr fontId="1" type="noConversion"/>
  </si>
  <si>
    <t>項目服務模組</t>
    <phoneticPr fontId="1" type="noConversion"/>
  </si>
  <si>
    <t>服務資訊模組</t>
    <phoneticPr fontId="1" type="noConversion"/>
  </si>
  <si>
    <t>三階層項目</t>
    <phoneticPr fontId="1" type="noConversion"/>
  </si>
  <si>
    <t>註冊頁面</t>
    <phoneticPr fontId="1" type="noConversion"/>
  </si>
  <si>
    <t>註冊頁面、個人黃頁</t>
    <phoneticPr fontId="1" type="noConversion"/>
  </si>
  <si>
    <t>地區 / 方式 / 定價</t>
    <phoneticPr fontId="1" type="noConversion"/>
  </si>
  <si>
    <t>即時對話，定時或非活躍使用者刪除紀錄</t>
  </si>
  <si>
    <r>
      <t xml:space="preserve">可主動查找附近客戶/ </t>
    </r>
    <r>
      <rPr>
        <sz val="11"/>
        <color rgb="FFFF0000"/>
        <rFont val="微軟正黑體"/>
        <family val="2"/>
        <charset val="136"/>
      </rPr>
      <t>自動媒合通知</t>
    </r>
    <phoneticPr fontId="1" type="noConversion"/>
  </si>
  <si>
    <r>
      <t xml:space="preserve">可主動查找附近小老闆/ </t>
    </r>
    <r>
      <rPr>
        <sz val="11"/>
        <color rgb="FFFF0000"/>
        <rFont val="微軟正黑體"/>
        <family val="2"/>
        <charset val="136"/>
      </rPr>
      <t>主動發需求單/ 自動媒合</t>
    </r>
    <phoneticPr fontId="1" type="noConversion"/>
  </si>
  <si>
    <r>
      <t xml:space="preserve">免費 / </t>
    </r>
    <r>
      <rPr>
        <sz val="11"/>
        <color rgb="FFFF0000"/>
        <rFont val="微軟正黑體"/>
        <family val="2"/>
        <charset val="136"/>
      </rPr>
      <t>套裝月租費</t>
    </r>
    <phoneticPr fontId="1" type="noConversion"/>
  </si>
  <si>
    <t>維護人力</t>
    <phoneticPr fontId="1" type="noConversion"/>
  </si>
  <si>
    <t>維護成本</t>
    <phoneticPr fontId="1" type="noConversion"/>
  </si>
  <si>
    <t>自動媒合模組</t>
    <phoneticPr fontId="1" type="noConversion"/>
  </si>
  <si>
    <t>媒合後通知，限期內回覆</t>
    <phoneticPr fontId="1" type="noConversion"/>
  </si>
  <si>
    <t>由服務項目 / 地區 / 期效展開</t>
    <phoneticPr fontId="1" type="noConversion"/>
  </si>
  <si>
    <t>即時溝通模組</t>
    <phoneticPr fontId="1" type="noConversion"/>
  </si>
  <si>
    <t>行事曆模組</t>
    <phoneticPr fontId="1" type="noConversion"/>
  </si>
  <si>
    <t>與即時溝通模組串連</t>
    <phoneticPr fontId="1" type="noConversion"/>
  </si>
  <si>
    <t>依需求單模組與權限模組串連發送信息</t>
    <phoneticPr fontId="1" type="noConversion"/>
  </si>
  <si>
    <t>客戶模組</t>
    <phoneticPr fontId="1" type="noConversion"/>
  </si>
  <si>
    <t>訂單發起模組</t>
    <phoneticPr fontId="1" type="noConversion"/>
  </si>
  <si>
    <t>查詢訂單模組</t>
    <phoneticPr fontId="1" type="noConversion"/>
  </si>
  <si>
    <t>群發 / 單發</t>
    <phoneticPr fontId="1" type="noConversion"/>
  </si>
  <si>
    <t>查詢服務模組</t>
    <phoneticPr fontId="1" type="noConversion"/>
  </si>
  <si>
    <t>由服務項目 / 地區 / 定價展開</t>
    <phoneticPr fontId="1" type="noConversion"/>
  </si>
  <si>
    <t>管理者模組</t>
    <phoneticPr fontId="1" type="noConversion"/>
  </si>
  <si>
    <t>訂閱模組</t>
    <phoneticPr fontId="1" type="noConversion"/>
  </si>
  <si>
    <t>金流、權限模組串連</t>
    <phoneticPr fontId="1" type="noConversion"/>
  </si>
  <si>
    <t>專業認證模組</t>
    <phoneticPr fontId="1" type="noConversion"/>
  </si>
  <si>
    <t>上傳相關證明文件、人工認證</t>
    <phoneticPr fontId="1" type="noConversion"/>
  </si>
  <si>
    <t>信用卡認證模組</t>
    <phoneticPr fontId="1" type="noConversion"/>
  </si>
  <si>
    <t>使用者管理模組</t>
    <phoneticPr fontId="1" type="noConversion"/>
  </si>
  <si>
    <t>評分模組</t>
    <phoneticPr fontId="1" type="noConversion"/>
  </si>
  <si>
    <t>對小老闆3+1評分與留言</t>
    <phoneticPr fontId="1" type="noConversion"/>
  </si>
  <si>
    <t>人工認證後台模組</t>
    <phoneticPr fontId="1" type="noConversion"/>
  </si>
  <si>
    <t>權限 / 帳號活躍 / 即時溝通查詢</t>
    <phoneticPr fontId="1" type="noConversion"/>
  </si>
  <si>
    <t>平台通知模組</t>
    <phoneticPr fontId="1" type="noConversion"/>
  </si>
  <si>
    <t>平台信箱</t>
    <phoneticPr fontId="1" type="noConversion"/>
  </si>
  <si>
    <t>退單 / 接受、賦予權限</t>
    <phoneticPr fontId="1" type="noConversion"/>
  </si>
  <si>
    <t>任何行為統計 / 活躍帳號統計</t>
    <phoneticPr fontId="1" type="noConversion"/>
  </si>
  <si>
    <t>0元刷卡認證</t>
    <phoneticPr fontId="1" type="noConversion"/>
  </si>
  <si>
    <t>初階工時</t>
    <phoneticPr fontId="1" type="noConversion"/>
  </si>
  <si>
    <t>二階工時</t>
    <phoneticPr fontId="1" type="noConversion"/>
  </si>
  <si>
    <t>總計</t>
    <phoneticPr fontId="1" type="noConversion"/>
  </si>
  <si>
    <t>順序</t>
    <phoneticPr fontId="1" type="noConversion"/>
  </si>
  <si>
    <t>項目</t>
    <phoneticPr fontId="1" type="noConversion"/>
  </si>
  <si>
    <t>說明</t>
    <phoneticPr fontId="1" type="noConversion"/>
  </si>
  <si>
    <t>工時</t>
    <phoneticPr fontId="1" type="noConversion"/>
  </si>
  <si>
    <t>天數</t>
    <phoneticPr fontId="1" type="noConversion"/>
  </si>
  <si>
    <t>SN</t>
    <phoneticPr fontId="1" type="noConversion"/>
  </si>
  <si>
    <t>9月</t>
    <phoneticPr fontId="1" type="noConversion"/>
  </si>
  <si>
    <t>10月</t>
    <phoneticPr fontId="1" type="noConversion"/>
  </si>
  <si>
    <t>幣別系統</t>
    <phoneticPr fontId="1" type="noConversion"/>
  </si>
  <si>
    <t>基本架構建置</t>
    <phoneticPr fontId="1" type="noConversion"/>
  </si>
  <si>
    <t xml:space="preserve">工時 </t>
    <phoneticPr fontId="1" type="noConversion"/>
  </si>
  <si>
    <t>前端四步驟問卷</t>
    <phoneticPr fontId="1" type="noConversion"/>
  </si>
  <si>
    <t>後端API</t>
    <phoneticPr fontId="1" type="noConversion"/>
  </si>
  <si>
    <t>Google登入/資料表設計</t>
    <phoneticPr fontId="1" type="noConversion"/>
  </si>
  <si>
    <t>資料表設計</t>
    <phoneticPr fontId="1" type="noConversion"/>
  </si>
  <si>
    <t>地區資訊資料表設計</t>
    <phoneticPr fontId="1" type="noConversion"/>
  </si>
  <si>
    <t>三層服務資料表設計</t>
    <phoneticPr fontId="1" type="noConversion"/>
  </si>
  <si>
    <t>前端UI</t>
    <phoneticPr fontId="1" type="noConversion"/>
  </si>
  <si>
    <t>查詢UI</t>
    <phoneticPr fontId="1" type="noConversion"/>
  </si>
  <si>
    <t>問卷式填寫UI</t>
    <phoneticPr fontId="1" type="noConversion"/>
  </si>
  <si>
    <t>三層分類UI</t>
    <phoneticPr fontId="1" type="noConversion"/>
  </si>
  <si>
    <t>服務項目查詢</t>
    <phoneticPr fontId="1" type="noConversion"/>
  </si>
  <si>
    <t>店家頁面</t>
    <phoneticPr fontId="1" type="noConversion"/>
  </si>
  <si>
    <t>11月</t>
    <phoneticPr fontId="1" type="noConversion"/>
  </si>
  <si>
    <t>W1</t>
    <phoneticPr fontId="1" type="noConversion"/>
  </si>
  <si>
    <t>W2</t>
  </si>
  <si>
    <t>W2</t>
    <phoneticPr fontId="1" type="noConversion"/>
  </si>
  <si>
    <t>W3</t>
  </si>
  <si>
    <t>W4</t>
  </si>
  <si>
    <t>W5</t>
  </si>
  <si>
    <t>Facebook登入</t>
    <phoneticPr fontId="1" type="noConversion"/>
  </si>
  <si>
    <t>Apple登入</t>
    <phoneticPr fontId="1" type="noConversion"/>
  </si>
  <si>
    <t>其他Email登入</t>
    <phoneticPr fontId="1" type="noConversion"/>
  </si>
  <si>
    <t>多篩選條件查詢</t>
    <phoneticPr fontId="1" type="noConversion"/>
  </si>
  <si>
    <t>地圖模式查詢</t>
    <phoneticPr fontId="1" type="noConversion"/>
  </si>
  <si>
    <t>Stipe帳號申請</t>
    <phoneticPr fontId="1" type="noConversion"/>
  </si>
  <si>
    <t>UI設計</t>
    <phoneticPr fontId="1" type="noConversion"/>
  </si>
  <si>
    <t>後端API呼叫</t>
    <phoneticPr fontId="1" type="noConversion"/>
  </si>
  <si>
    <t>發起UI</t>
    <phoneticPr fontId="1" type="noConversion"/>
  </si>
  <si>
    <t>資料庫設計</t>
    <phoneticPr fontId="1" type="noConversion"/>
  </si>
  <si>
    <t>歷史紀錄</t>
    <phoneticPr fontId="1" type="noConversion"/>
  </si>
  <si>
    <t>註冊/商店資訊模組v2</t>
    <phoneticPr fontId="1" type="noConversion"/>
  </si>
  <si>
    <t>Boss</t>
    <phoneticPr fontId="1" type="noConversion"/>
  </si>
  <si>
    <t>切換Boss頁面</t>
    <phoneticPr fontId="1" type="noConversion"/>
  </si>
  <si>
    <t>註冊Boss</t>
    <phoneticPr fontId="1" type="noConversion"/>
  </si>
  <si>
    <t>選擇服務項目</t>
    <phoneticPr fontId="1" type="noConversion"/>
  </si>
  <si>
    <t>/api/ServicesItem/categories</t>
  </si>
  <si>
    <t>選擇價位</t>
    <phoneticPr fontId="1" type="noConversion"/>
  </si>
  <si>
    <t>選擇服務方式</t>
    <phoneticPr fontId="1" type="noConversion"/>
  </si>
  <si>
    <t>Output API URL</t>
    <phoneticPr fontId="1" type="noConversion"/>
  </si>
  <si>
    <t>Input API URL</t>
    <phoneticPr fontId="1" type="noConversion"/>
  </si>
  <si>
    <t>/api/Location/cities</t>
    <phoneticPr fontId="1" type="noConversion"/>
  </si>
  <si>
    <t>選擇服務城市</t>
    <phoneticPr fontId="1" type="noConversion"/>
  </si>
  <si>
    <t>/api/Location/districts</t>
    <phoneticPr fontId="1" type="noConversion"/>
  </si>
  <si>
    <t>選擇服務行政區</t>
    <phoneticPr fontId="1" type="noConversion"/>
  </si>
  <si>
    <t>確認送出</t>
    <phoneticPr fontId="1" type="noConversion"/>
  </si>
  <si>
    <t>/api/BossInfo/BossInfoQuestionSubmit</t>
  </si>
  <si>
    <t>Boss頁面</t>
    <phoneticPr fontId="1" type="noConversion"/>
  </si>
  <si>
    <t>商店資訊</t>
    <phoneticPr fontId="1" type="noConversion"/>
  </si>
  <si>
    <t>頭像</t>
    <phoneticPr fontId="1" type="noConversion"/>
  </si>
  <si>
    <t>名字</t>
    <phoneticPr fontId="1" type="noConversion"/>
  </si>
  <si>
    <t>評價</t>
    <phoneticPr fontId="1" type="noConversion"/>
  </si>
  <si>
    <t>成交次數</t>
    <phoneticPr fontId="1" type="noConversion"/>
  </si>
  <si>
    <t>成交紀錄</t>
    <phoneticPr fontId="1" type="noConversion"/>
  </si>
  <si>
    <t>評價紀錄</t>
    <phoneticPr fontId="1" type="noConversion"/>
  </si>
  <si>
    <t>帳號權限</t>
    <phoneticPr fontId="1" type="noConversion"/>
  </si>
  <si>
    <t>地址</t>
    <phoneticPr fontId="1" type="noConversion"/>
  </si>
  <si>
    <t>電話</t>
    <phoneticPr fontId="1" type="noConversion"/>
  </si>
  <si>
    <t>前往設定</t>
    <phoneticPr fontId="1" type="noConversion"/>
  </si>
  <si>
    <t>服務項目</t>
    <phoneticPr fontId="1" type="noConversion"/>
  </si>
  <si>
    <t>服務方式</t>
    <phoneticPr fontId="1" type="noConversion"/>
  </si>
  <si>
    <t>服務範圍</t>
    <phoneticPr fontId="1" type="noConversion"/>
  </si>
  <si>
    <t>價格區間</t>
    <phoneticPr fontId="1" type="noConversion"/>
  </si>
  <si>
    <t>服務據點</t>
    <phoneticPr fontId="1" type="noConversion"/>
  </si>
  <si>
    <t>編輯</t>
    <phoneticPr fontId="1" type="noConversion"/>
  </si>
  <si>
    <t>認證檔案上傳</t>
    <phoneticPr fontId="1" type="noConversion"/>
  </si>
  <si>
    <t>/api/BossInfo/upload-verification</t>
    <phoneticPr fontId="1" type="noConversion"/>
  </si>
  <si>
    <t>目前檔案</t>
    <phoneticPr fontId="1" type="noConversion"/>
  </si>
  <si>
    <t>上傳檔案</t>
    <phoneticPr fontId="1" type="noConversion"/>
  </si>
  <si>
    <t>/api/bossstorecontent/${userId}</t>
  </si>
  <si>
    <t>個人化介紹</t>
    <phoneticPr fontId="1" type="noConversion"/>
  </si>
  <si>
    <t>Customer</t>
    <phoneticPr fontId="1" type="noConversion"/>
  </si>
  <si>
    <t>切換Customer頁面</t>
    <phoneticPr fontId="1" type="noConversion"/>
  </si>
  <si>
    <t>登入</t>
    <phoneticPr fontId="1" type="noConversion"/>
  </si>
  <si>
    <t>選擇Google</t>
    <phoneticPr fontId="1" type="noConversion"/>
  </si>
  <si>
    <t>選擇FaceBook</t>
    <phoneticPr fontId="1" type="noConversion"/>
  </si>
  <si>
    <t>選擇xxx</t>
    <phoneticPr fontId="1" type="noConversion"/>
  </si>
  <si>
    <t>google/auto</t>
  </si>
  <si>
    <t>依分類查詢</t>
    <phoneticPr fontId="1" type="noConversion"/>
  </si>
  <si>
    <t>/api/BossServices/stats/${itemId}</t>
    <phoneticPr fontId="1" type="noConversion"/>
  </si>
  <si>
    <t>店家清單</t>
    <phoneticPr fontId="1" type="noConversion"/>
  </si>
  <si>
    <t>/api/BossServices/stores/${itemId}?cityId=${encodeURIComponent(cityId)}&amp;districtId=${encodeURIComponent(districtId)}</t>
    <phoneticPr fontId="1" type="noConversion"/>
  </si>
  <si>
    <t>單一店家詳細資訊</t>
    <phoneticPr fontId="1" type="noConversion"/>
  </si>
  <si>
    <t>/api/BossServices/store/${userId}</t>
  </si>
  <si>
    <t>/api/BossServices/categories</t>
  </si>
  <si>
    <t>/api/CustomerServiceQuestionnaire/${USERID}</t>
  </si>
  <si>
    <t>需求單城市分布</t>
    <phoneticPr fontId="1" type="noConversion"/>
  </si>
  <si>
    <t>服務店家城市分布</t>
    <phoneticPr fontId="1" type="noConversion"/>
  </si>
  <si>
    <t>需求單行政區分布</t>
    <phoneticPr fontId="1" type="noConversion"/>
  </si>
  <si>
    <t>需求單單一客戶資訊</t>
    <phoneticPr fontId="1" type="noConversion"/>
  </si>
  <si>
    <t>發起需求單</t>
    <phoneticPr fontId="1" type="noConversion"/>
  </si>
  <si>
    <t>需求單查詢</t>
    <phoneticPr fontId="1" type="noConversion"/>
  </si>
  <si>
    <t>認證狀態</t>
    <phoneticPr fontId="1" type="noConversion"/>
  </si>
  <si>
    <t>評分</t>
    <phoneticPr fontId="1" type="noConversion"/>
  </si>
  <si>
    <t>第一類評分</t>
    <phoneticPr fontId="1" type="noConversion"/>
  </si>
  <si>
    <t>第二類評分</t>
    <phoneticPr fontId="1" type="noConversion"/>
  </si>
  <si>
    <t>第三類評分</t>
    <phoneticPr fontId="1" type="noConversion"/>
  </si>
  <si>
    <t>留言</t>
    <phoneticPr fontId="1" type="noConversion"/>
  </si>
  <si>
    <t>總評分</t>
    <phoneticPr fontId="1" type="noConversion"/>
  </si>
  <si>
    <t>架構重寫</t>
    <phoneticPr fontId="1" type="noConversion"/>
  </si>
  <si>
    <t>地區模組v2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</si>
</sst>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theme="0"/>
      <name val="微軟正黑體"/>
      <family val="2"/>
      <charset val="136"/>
    </font>
    <font>
      <sz val="11"/>
      <name val="微軟正黑體"/>
      <family val="2"/>
      <charset val="136"/>
    </font>
    <font>
      <sz val="11"/>
      <color rgb="FFFF0000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/>
    <xf numFmtId="0" fontId="4" fillId="3" borderId="1" xfId="0" applyFont="1" applyFill="1" applyBorder="1"/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vertical="center"/>
    </xf>
    <xf numFmtId="0" fontId="5" fillId="0" borderId="1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290879</xdr:colOff>
      <xdr:row>2</xdr:row>
      <xdr:rowOff>46160</xdr:rowOff>
    </xdr:from>
    <xdr:to>
      <xdr:col>3</xdr:col>
      <xdr:colOff>332154</xdr:colOff>
      <xdr:row>2</xdr:row>
      <xdr:rowOff>177755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B9DF156-C581-D3E5-60A1-4EA3872C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6379" y="446210"/>
          <a:ext cx="336550" cy="131595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2</xdr:row>
      <xdr:rowOff>169985</xdr:rowOff>
    </xdr:from>
    <xdr:to>
      <xdr:col>3</xdr:col>
      <xdr:colOff>327757</xdr:colOff>
      <xdr:row>2</xdr:row>
      <xdr:rowOff>302083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352036C-DC55-C64E-6BE1-8CA42935C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86810" y="565639"/>
          <a:ext cx="322382" cy="132098"/>
        </a:xfrm>
        <a:prstGeom prst="rect">
          <a:avLst/>
        </a:prstGeom>
      </xdr:spPr>
    </xdr:pic>
    <xdr:clientData/>
  </xdr:twoCellAnchor>
  <xdr:twoCellAnchor editAs="oneCell">
    <xdr:from>
      <xdr:col>3</xdr:col>
      <xdr:colOff>278179</xdr:colOff>
      <xdr:row>3</xdr:row>
      <xdr:rowOff>60813</xdr:rowOff>
    </xdr:from>
    <xdr:to>
      <xdr:col>4</xdr:col>
      <xdr:colOff>1955</xdr:colOff>
      <xdr:row>3</xdr:row>
      <xdr:rowOff>192408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9C48907-B8B9-4D23-B78F-4CD176EE8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367" y="783126"/>
          <a:ext cx="334963" cy="131595"/>
        </a:xfrm>
        <a:prstGeom prst="rect">
          <a:avLst/>
        </a:prstGeom>
      </xdr:spPr>
    </xdr:pic>
    <xdr:clientData/>
  </xdr:twoCellAnchor>
  <xdr:twoCellAnchor editAs="oneCell">
    <xdr:from>
      <xdr:col>3</xdr:col>
      <xdr:colOff>283310</xdr:colOff>
      <xdr:row>3</xdr:row>
      <xdr:rowOff>184638</xdr:rowOff>
    </xdr:from>
    <xdr:to>
      <xdr:col>4</xdr:col>
      <xdr:colOff>5495</xdr:colOff>
      <xdr:row>3</xdr:row>
      <xdr:rowOff>316736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532FE4D-55C0-48CB-8172-ADD37A004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80498" y="906951"/>
          <a:ext cx="325435" cy="132098"/>
        </a:xfrm>
        <a:prstGeom prst="rect">
          <a:avLst/>
        </a:prstGeom>
      </xdr:spPr>
    </xdr:pic>
    <xdr:clientData/>
  </xdr:twoCellAnchor>
  <xdr:twoCellAnchor editAs="oneCell">
    <xdr:from>
      <xdr:col>3</xdr:col>
      <xdr:colOff>603617</xdr:colOff>
      <xdr:row>9</xdr:row>
      <xdr:rowOff>37001</xdr:rowOff>
    </xdr:from>
    <xdr:to>
      <xdr:col>4</xdr:col>
      <xdr:colOff>433917</xdr:colOff>
      <xdr:row>9</xdr:row>
      <xdr:rowOff>168596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3863AB24-F630-4041-AE63-3893B6E11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6073" y="1090354"/>
          <a:ext cx="441020" cy="131595"/>
        </a:xfrm>
        <a:prstGeom prst="rect">
          <a:avLst/>
        </a:prstGeom>
      </xdr:spPr>
    </xdr:pic>
    <xdr:clientData/>
  </xdr:twoCellAnchor>
  <xdr:twoCellAnchor editAs="oneCell">
    <xdr:from>
      <xdr:col>4</xdr:col>
      <xdr:colOff>206</xdr:colOff>
      <xdr:row>9</xdr:row>
      <xdr:rowOff>160826</xdr:rowOff>
    </xdr:from>
    <xdr:to>
      <xdr:col>4</xdr:col>
      <xdr:colOff>428625</xdr:colOff>
      <xdr:row>9</xdr:row>
      <xdr:rowOff>292924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2E2D0FF6-5E7D-494D-A0E5-35603055B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0581" y="1208576"/>
          <a:ext cx="428419" cy="132098"/>
        </a:xfrm>
        <a:prstGeom prst="rect">
          <a:avLst/>
        </a:prstGeom>
      </xdr:spPr>
    </xdr:pic>
    <xdr:clientData/>
  </xdr:twoCellAnchor>
  <xdr:twoCellAnchor editAs="oneCell">
    <xdr:from>
      <xdr:col>4</xdr:col>
      <xdr:colOff>406766</xdr:colOff>
      <xdr:row>14</xdr:row>
      <xdr:rowOff>35942</xdr:rowOff>
    </xdr:from>
    <xdr:to>
      <xdr:col>5</xdr:col>
      <xdr:colOff>237066</xdr:colOff>
      <xdr:row>14</xdr:row>
      <xdr:rowOff>167537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20D54AB1-B9A6-4F6A-A779-17C68EF0D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7141" y="1406484"/>
          <a:ext cx="438842" cy="131595"/>
        </a:xfrm>
        <a:prstGeom prst="rect">
          <a:avLst/>
        </a:prstGeom>
      </xdr:spPr>
    </xdr:pic>
    <xdr:clientData/>
  </xdr:twoCellAnchor>
  <xdr:twoCellAnchor editAs="oneCell">
    <xdr:from>
      <xdr:col>4</xdr:col>
      <xdr:colOff>411897</xdr:colOff>
      <xdr:row>14</xdr:row>
      <xdr:rowOff>159767</xdr:rowOff>
    </xdr:from>
    <xdr:to>
      <xdr:col>5</xdr:col>
      <xdr:colOff>231774</xdr:colOff>
      <xdr:row>14</xdr:row>
      <xdr:rowOff>291865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5C1C879C-05B9-4DCF-9856-36497AD2F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2272" y="1530309"/>
          <a:ext cx="428419" cy="132098"/>
        </a:xfrm>
        <a:prstGeom prst="rect">
          <a:avLst/>
        </a:prstGeom>
      </xdr:spPr>
    </xdr:pic>
    <xdr:clientData/>
  </xdr:twoCellAnchor>
  <xdr:twoCellAnchor editAs="oneCell">
    <xdr:from>
      <xdr:col>5</xdr:col>
      <xdr:colOff>227909</xdr:colOff>
      <xdr:row>19</xdr:row>
      <xdr:rowOff>31710</xdr:rowOff>
    </xdr:from>
    <xdr:to>
      <xdr:col>5</xdr:col>
      <xdr:colOff>560227</xdr:colOff>
      <xdr:row>19</xdr:row>
      <xdr:rowOff>163305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A69F1896-DAD4-4C77-BD4A-A755CD55C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6826" y="1725043"/>
          <a:ext cx="332318" cy="131595"/>
        </a:xfrm>
        <a:prstGeom prst="rect">
          <a:avLst/>
        </a:prstGeom>
      </xdr:spPr>
    </xdr:pic>
    <xdr:clientData/>
  </xdr:twoCellAnchor>
  <xdr:twoCellAnchor editAs="oneCell">
    <xdr:from>
      <xdr:col>5</xdr:col>
      <xdr:colOff>233040</xdr:colOff>
      <xdr:row>19</xdr:row>
      <xdr:rowOff>155535</xdr:rowOff>
    </xdr:from>
    <xdr:to>
      <xdr:col>5</xdr:col>
      <xdr:colOff>563767</xdr:colOff>
      <xdr:row>19</xdr:row>
      <xdr:rowOff>287633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94B5E7AE-11CC-43CB-B690-D3648BAB3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1957" y="1848868"/>
          <a:ext cx="330727" cy="132098"/>
        </a:xfrm>
        <a:prstGeom prst="rect">
          <a:avLst/>
        </a:prstGeom>
      </xdr:spPr>
    </xdr:pic>
    <xdr:clientData/>
  </xdr:twoCellAnchor>
  <xdr:twoCellAnchor editAs="oneCell">
    <xdr:from>
      <xdr:col>5</xdr:col>
      <xdr:colOff>550701</xdr:colOff>
      <xdr:row>22</xdr:row>
      <xdr:rowOff>34356</xdr:rowOff>
    </xdr:from>
    <xdr:to>
      <xdr:col>6</xdr:col>
      <xdr:colOff>273419</xdr:colOff>
      <xdr:row>22</xdr:row>
      <xdr:rowOff>165951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46F12903-5EE7-4242-A101-4BFA57224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0676" y="2053656"/>
          <a:ext cx="332318" cy="131595"/>
        </a:xfrm>
        <a:prstGeom prst="rect">
          <a:avLst/>
        </a:prstGeom>
      </xdr:spPr>
    </xdr:pic>
    <xdr:clientData/>
  </xdr:twoCellAnchor>
  <xdr:twoCellAnchor editAs="oneCell">
    <xdr:from>
      <xdr:col>5</xdr:col>
      <xdr:colOff>555832</xdr:colOff>
      <xdr:row>22</xdr:row>
      <xdr:rowOff>158181</xdr:rowOff>
    </xdr:from>
    <xdr:to>
      <xdr:col>6</xdr:col>
      <xdr:colOff>276959</xdr:colOff>
      <xdr:row>22</xdr:row>
      <xdr:rowOff>290279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688C5975-4FC5-43B3-90B1-1599ACA34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5807" y="2177481"/>
          <a:ext cx="330727" cy="132098"/>
        </a:xfrm>
        <a:prstGeom prst="rect">
          <a:avLst/>
        </a:prstGeom>
      </xdr:spPr>
    </xdr:pic>
    <xdr:clientData/>
  </xdr:twoCellAnchor>
  <xdr:twoCellAnchor editAs="oneCell">
    <xdr:from>
      <xdr:col>6</xdr:col>
      <xdr:colOff>262230</xdr:colOff>
      <xdr:row>25</xdr:row>
      <xdr:rowOff>39799</xdr:rowOff>
    </xdr:from>
    <xdr:to>
      <xdr:col>6</xdr:col>
      <xdr:colOff>448822</xdr:colOff>
      <xdr:row>25</xdr:row>
      <xdr:rowOff>171394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FEC8B971-3BF6-4872-914D-75996975B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170" y="2383647"/>
          <a:ext cx="186592" cy="131595"/>
        </a:xfrm>
        <a:prstGeom prst="rect">
          <a:avLst/>
        </a:prstGeom>
      </xdr:spPr>
    </xdr:pic>
    <xdr:clientData/>
  </xdr:twoCellAnchor>
  <xdr:twoCellAnchor editAs="oneCell">
    <xdr:from>
      <xdr:col>6</xdr:col>
      <xdr:colOff>267361</xdr:colOff>
      <xdr:row>25</xdr:row>
      <xdr:rowOff>163624</xdr:rowOff>
    </xdr:from>
    <xdr:to>
      <xdr:col>6</xdr:col>
      <xdr:colOff>446328</xdr:colOff>
      <xdr:row>25</xdr:row>
      <xdr:rowOff>295722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4E6BD47D-7493-4664-B1B2-C9C76B0FA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1301" y="2507472"/>
          <a:ext cx="178967" cy="132098"/>
        </a:xfrm>
        <a:prstGeom prst="rect">
          <a:avLst/>
        </a:prstGeom>
      </xdr:spPr>
    </xdr:pic>
    <xdr:clientData/>
  </xdr:twoCellAnchor>
  <xdr:twoCellAnchor editAs="oneCell">
    <xdr:from>
      <xdr:col>6</xdr:col>
      <xdr:colOff>445926</xdr:colOff>
      <xdr:row>28</xdr:row>
      <xdr:rowOff>30415</xdr:rowOff>
    </xdr:from>
    <xdr:to>
      <xdr:col>7</xdr:col>
      <xdr:colOff>168644</xdr:colOff>
      <xdr:row>28</xdr:row>
      <xdr:rowOff>162010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84A74511-0C9B-4596-AA0D-DDCACE6AF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9771" y="2707268"/>
          <a:ext cx="333632" cy="131595"/>
        </a:xfrm>
        <a:prstGeom prst="rect">
          <a:avLst/>
        </a:prstGeom>
      </xdr:spPr>
    </xdr:pic>
    <xdr:clientData/>
  </xdr:twoCellAnchor>
  <xdr:twoCellAnchor editAs="oneCell">
    <xdr:from>
      <xdr:col>6</xdr:col>
      <xdr:colOff>451056</xdr:colOff>
      <xdr:row>28</xdr:row>
      <xdr:rowOff>154239</xdr:rowOff>
    </xdr:from>
    <xdr:to>
      <xdr:col>7</xdr:col>
      <xdr:colOff>158749</xdr:colOff>
      <xdr:row>28</xdr:row>
      <xdr:rowOff>279400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FA1D2B81-1D1C-4091-9DCB-774CC8E2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3806" y="2827589"/>
          <a:ext cx="317293" cy="125161"/>
        </a:xfrm>
        <a:prstGeom prst="rect">
          <a:avLst/>
        </a:prstGeom>
      </xdr:spPr>
    </xdr:pic>
    <xdr:clientData/>
  </xdr:twoCellAnchor>
  <xdr:twoCellAnchor editAs="oneCell">
    <xdr:from>
      <xdr:col>7</xdr:col>
      <xdr:colOff>120216</xdr:colOff>
      <xdr:row>33</xdr:row>
      <xdr:rowOff>49772</xdr:rowOff>
    </xdr:from>
    <xdr:to>
      <xdr:col>7</xdr:col>
      <xdr:colOff>562837</xdr:colOff>
      <xdr:row>33</xdr:row>
      <xdr:rowOff>181367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7D3DF798-0DEE-4836-9673-9124D730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9391" y="3040622"/>
          <a:ext cx="442621" cy="131595"/>
        </a:xfrm>
        <a:prstGeom prst="rect">
          <a:avLst/>
        </a:prstGeom>
      </xdr:spPr>
    </xdr:pic>
    <xdr:clientData/>
  </xdr:twoCellAnchor>
  <xdr:twoCellAnchor editAs="oneCell">
    <xdr:from>
      <xdr:col>7</xdr:col>
      <xdr:colOff>547980</xdr:colOff>
      <xdr:row>37</xdr:row>
      <xdr:rowOff>70562</xdr:rowOff>
    </xdr:from>
    <xdr:to>
      <xdr:col>8</xdr:col>
      <xdr:colOff>270698</xdr:colOff>
      <xdr:row>37</xdr:row>
      <xdr:rowOff>202157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13524FB1-2AF3-4F0B-8151-08997FCEC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600" y="3375323"/>
          <a:ext cx="331489" cy="131595"/>
        </a:xfrm>
        <a:prstGeom prst="rect">
          <a:avLst/>
        </a:prstGeom>
      </xdr:spPr>
    </xdr:pic>
    <xdr:clientData/>
  </xdr:twoCellAnchor>
  <xdr:twoCellAnchor editAs="oneCell">
    <xdr:from>
      <xdr:col>8</xdr:col>
      <xdr:colOff>288271</xdr:colOff>
      <xdr:row>42</xdr:row>
      <xdr:rowOff>94697</xdr:rowOff>
    </xdr:from>
    <xdr:to>
      <xdr:col>9</xdr:col>
      <xdr:colOff>10989</xdr:colOff>
      <xdr:row>42</xdr:row>
      <xdr:rowOff>226292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E59F7AD8-684B-4BFF-BBA0-7B25DBDD4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7932" y="3755018"/>
          <a:ext cx="335039" cy="131595"/>
        </a:xfrm>
        <a:prstGeom prst="rect">
          <a:avLst/>
        </a:prstGeom>
      </xdr:spPr>
    </xdr:pic>
    <xdr:clientData/>
  </xdr:twoCellAnchor>
  <xdr:twoCellAnchor editAs="oneCell">
    <xdr:from>
      <xdr:col>9</xdr:col>
      <xdr:colOff>314126</xdr:colOff>
      <xdr:row>44</xdr:row>
      <xdr:rowOff>79730</xdr:rowOff>
    </xdr:from>
    <xdr:to>
      <xdr:col>10</xdr:col>
      <xdr:colOff>354542</xdr:colOff>
      <xdr:row>44</xdr:row>
      <xdr:rowOff>211325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1F4137F3-0F3E-4548-A3E6-A2BCE26D8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7209" y="4355397"/>
          <a:ext cx="648958" cy="131595"/>
        </a:xfrm>
        <a:prstGeom prst="rect">
          <a:avLst/>
        </a:prstGeom>
      </xdr:spPr>
    </xdr:pic>
    <xdr:clientData/>
  </xdr:twoCellAnchor>
  <xdr:twoCellAnchor editAs="oneCell">
    <xdr:from>
      <xdr:col>10</xdr:col>
      <xdr:colOff>335140</xdr:colOff>
      <xdr:row>45</xdr:row>
      <xdr:rowOff>87894</xdr:rowOff>
    </xdr:from>
    <xdr:to>
      <xdr:col>11</xdr:col>
      <xdr:colOff>57857</xdr:colOff>
      <xdr:row>45</xdr:row>
      <xdr:rowOff>219489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A3C4F70A-93B0-4B2A-B448-462CE44D8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6765" y="4686352"/>
          <a:ext cx="331259" cy="131595"/>
        </a:xfrm>
        <a:prstGeom prst="rect">
          <a:avLst/>
        </a:prstGeom>
      </xdr:spPr>
    </xdr:pic>
    <xdr:clientData/>
  </xdr:twoCellAnchor>
  <xdr:twoCellAnchor editAs="oneCell">
    <xdr:from>
      <xdr:col>11</xdr:col>
      <xdr:colOff>57970</xdr:colOff>
      <xdr:row>46</xdr:row>
      <xdr:rowOff>110177</xdr:rowOff>
    </xdr:from>
    <xdr:to>
      <xdr:col>11</xdr:col>
      <xdr:colOff>500591</xdr:colOff>
      <xdr:row>46</xdr:row>
      <xdr:rowOff>241772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B62F7992-4127-49F4-B7A2-C7CC62E25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8720" y="5050477"/>
          <a:ext cx="442621" cy="131595"/>
        </a:xfrm>
        <a:prstGeom prst="rect">
          <a:avLst/>
        </a:prstGeom>
      </xdr:spPr>
    </xdr:pic>
    <xdr:clientData/>
  </xdr:twoCellAnchor>
  <xdr:twoCellAnchor editAs="oneCell">
    <xdr:from>
      <xdr:col>11</xdr:col>
      <xdr:colOff>511882</xdr:colOff>
      <xdr:row>47</xdr:row>
      <xdr:rowOff>91068</xdr:rowOff>
    </xdr:from>
    <xdr:to>
      <xdr:col>12</xdr:col>
      <xdr:colOff>234600</xdr:colOff>
      <xdr:row>47</xdr:row>
      <xdr:rowOff>222663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ED821CF5-4E21-4D78-88AD-2ED779196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2632" y="5355218"/>
          <a:ext cx="332318" cy="131595"/>
        </a:xfrm>
        <a:prstGeom prst="rect">
          <a:avLst/>
        </a:prstGeom>
      </xdr:spPr>
    </xdr:pic>
    <xdr:clientData/>
  </xdr:twoCellAnchor>
  <xdr:twoCellAnchor editAs="oneCell">
    <xdr:from>
      <xdr:col>8</xdr:col>
      <xdr:colOff>600782</xdr:colOff>
      <xdr:row>43</xdr:row>
      <xdr:rowOff>91068</xdr:rowOff>
    </xdr:from>
    <xdr:to>
      <xdr:col>9</xdr:col>
      <xdr:colOff>323500</xdr:colOff>
      <xdr:row>43</xdr:row>
      <xdr:rowOff>222663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C1B65DA3-611C-4D36-9180-6A6EE00C2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2732" y="4059818"/>
          <a:ext cx="332318" cy="131595"/>
        </a:xfrm>
        <a:prstGeom prst="rect">
          <a:avLst/>
        </a:prstGeom>
      </xdr:spPr>
    </xdr:pic>
    <xdr:clientData/>
  </xdr:twoCellAnchor>
  <xdr:twoCellAnchor editAs="oneCell">
    <xdr:from>
      <xdr:col>12</xdr:col>
      <xdr:colOff>267559</xdr:colOff>
      <xdr:row>48</xdr:row>
      <xdr:rowOff>107247</xdr:rowOff>
    </xdr:from>
    <xdr:to>
      <xdr:col>13</xdr:col>
      <xdr:colOff>307975</xdr:colOff>
      <xdr:row>48</xdr:row>
      <xdr:rowOff>238842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DB5D3BFF-65B4-488A-96B1-46AFF6187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47909" y="5695247"/>
          <a:ext cx="650016" cy="131595"/>
        </a:xfrm>
        <a:prstGeom prst="rect">
          <a:avLst/>
        </a:prstGeom>
      </xdr:spPr>
    </xdr:pic>
    <xdr:clientData/>
  </xdr:twoCellAnchor>
  <xdr:twoCellAnchor editAs="oneCell">
    <xdr:from>
      <xdr:col>13</xdr:col>
      <xdr:colOff>286609</xdr:colOff>
      <xdr:row>49</xdr:row>
      <xdr:rowOff>94547</xdr:rowOff>
    </xdr:from>
    <xdr:to>
      <xdr:col>14</xdr:col>
      <xdr:colOff>327025</xdr:colOff>
      <xdr:row>49</xdr:row>
      <xdr:rowOff>226142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57E871DB-F6A9-4938-9550-83BD1806B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6559" y="6006397"/>
          <a:ext cx="650016" cy="131595"/>
        </a:xfrm>
        <a:prstGeom prst="rect">
          <a:avLst/>
        </a:prstGeom>
      </xdr:spPr>
    </xdr:pic>
    <xdr:clientData/>
  </xdr:twoCellAnchor>
  <xdr:twoCellAnchor editAs="oneCell">
    <xdr:from>
      <xdr:col>14</xdr:col>
      <xdr:colOff>346782</xdr:colOff>
      <xdr:row>50</xdr:row>
      <xdr:rowOff>110118</xdr:rowOff>
    </xdr:from>
    <xdr:to>
      <xdr:col>15</xdr:col>
      <xdr:colOff>69500</xdr:colOff>
      <xdr:row>50</xdr:row>
      <xdr:rowOff>241713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03D5A836-3EE0-4966-B36F-B09DF4073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6332" y="6345818"/>
          <a:ext cx="332318" cy="131595"/>
        </a:xfrm>
        <a:prstGeom prst="rect">
          <a:avLst/>
        </a:prstGeom>
      </xdr:spPr>
    </xdr:pic>
    <xdr:clientData/>
  </xdr:twoCellAnchor>
  <xdr:twoCellAnchor editAs="oneCell">
    <xdr:from>
      <xdr:col>15</xdr:col>
      <xdr:colOff>99132</xdr:colOff>
      <xdr:row>51</xdr:row>
      <xdr:rowOff>116468</xdr:rowOff>
    </xdr:from>
    <xdr:to>
      <xdr:col>15</xdr:col>
      <xdr:colOff>431450</xdr:colOff>
      <xdr:row>51</xdr:row>
      <xdr:rowOff>248063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47CDF335-DCA7-DF59-F53C-08E7D0D09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8282" y="6676018"/>
          <a:ext cx="332318" cy="131595"/>
        </a:xfrm>
        <a:prstGeom prst="rect">
          <a:avLst/>
        </a:prstGeom>
      </xdr:spPr>
    </xdr:pic>
    <xdr:clientData/>
  </xdr:twoCellAnchor>
  <xdr:twoCellAnchor editAs="oneCell">
    <xdr:from>
      <xdr:col>15</xdr:col>
      <xdr:colOff>450270</xdr:colOff>
      <xdr:row>52</xdr:row>
      <xdr:rowOff>103997</xdr:rowOff>
    </xdr:from>
    <xdr:to>
      <xdr:col>16</xdr:col>
      <xdr:colOff>27262</xdr:colOff>
      <xdr:row>52</xdr:row>
      <xdr:rowOff>235592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F54F43BC-10B3-44D6-A728-11D2B7005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9420" y="6987397"/>
          <a:ext cx="186592" cy="131595"/>
        </a:xfrm>
        <a:prstGeom prst="rect">
          <a:avLst/>
        </a:prstGeom>
      </xdr:spPr>
    </xdr:pic>
    <xdr:clientData/>
  </xdr:twoCellAnchor>
  <xdr:twoCellAnchor editAs="oneCell">
    <xdr:from>
      <xdr:col>7</xdr:col>
      <xdr:colOff>130940</xdr:colOff>
      <xdr:row>33</xdr:row>
      <xdr:rowOff>180013</xdr:rowOff>
    </xdr:from>
    <xdr:to>
      <xdr:col>7</xdr:col>
      <xdr:colOff>554933</xdr:colOff>
      <xdr:row>33</xdr:row>
      <xdr:rowOff>306295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C05FBB09-2E03-429A-BD34-62D463AA8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5560" y="3161752"/>
          <a:ext cx="423993" cy="126282"/>
        </a:xfrm>
        <a:prstGeom prst="rect">
          <a:avLst/>
        </a:prstGeom>
      </xdr:spPr>
    </xdr:pic>
    <xdr:clientData/>
  </xdr:twoCellAnchor>
  <xdr:twoCellAnchor editAs="oneCell">
    <xdr:from>
      <xdr:col>7</xdr:col>
      <xdr:colOff>556666</xdr:colOff>
      <xdr:row>37</xdr:row>
      <xdr:rowOff>199891</xdr:rowOff>
    </xdr:from>
    <xdr:to>
      <xdr:col>8</xdr:col>
      <xdr:colOff>260902</xdr:colOff>
      <xdr:row>38</xdr:row>
      <xdr:rowOff>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8777E0D-38A1-4230-9866-63D59D17E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81286" y="3504652"/>
          <a:ext cx="313007" cy="123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290879</xdr:colOff>
      <xdr:row>2</xdr:row>
      <xdr:rowOff>46160</xdr:rowOff>
    </xdr:from>
    <xdr:to>
      <xdr:col>3</xdr:col>
      <xdr:colOff>332154</xdr:colOff>
      <xdr:row>2</xdr:row>
      <xdr:rowOff>177755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4A3290E-37E2-46E3-949E-7BC9BFC81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6379" y="446210"/>
          <a:ext cx="336550" cy="131595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2</xdr:row>
      <xdr:rowOff>169985</xdr:rowOff>
    </xdr:from>
    <xdr:to>
      <xdr:col>3</xdr:col>
      <xdr:colOff>327757</xdr:colOff>
      <xdr:row>2</xdr:row>
      <xdr:rowOff>302083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C5192AF-9A50-429A-8F5E-A8890C532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1510" y="570035"/>
          <a:ext cx="327022" cy="132098"/>
        </a:xfrm>
        <a:prstGeom prst="rect">
          <a:avLst/>
        </a:prstGeom>
      </xdr:spPr>
    </xdr:pic>
    <xdr:clientData/>
  </xdr:twoCellAnchor>
  <xdr:twoCellAnchor editAs="oneCell">
    <xdr:from>
      <xdr:col>3</xdr:col>
      <xdr:colOff>278179</xdr:colOff>
      <xdr:row>3</xdr:row>
      <xdr:rowOff>60813</xdr:rowOff>
    </xdr:from>
    <xdr:to>
      <xdr:col>4</xdr:col>
      <xdr:colOff>1955</xdr:colOff>
      <xdr:row>3</xdr:row>
      <xdr:rowOff>192408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034F7B3-0F7E-4F31-B5BE-1137AF0D9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8954" y="784713"/>
          <a:ext cx="333376" cy="131595"/>
        </a:xfrm>
        <a:prstGeom prst="rect">
          <a:avLst/>
        </a:prstGeom>
      </xdr:spPr>
    </xdr:pic>
    <xdr:clientData/>
  </xdr:twoCellAnchor>
  <xdr:twoCellAnchor editAs="oneCell">
    <xdr:from>
      <xdr:col>3</xdr:col>
      <xdr:colOff>283310</xdr:colOff>
      <xdr:row>3</xdr:row>
      <xdr:rowOff>184638</xdr:rowOff>
    </xdr:from>
    <xdr:to>
      <xdr:col>4</xdr:col>
      <xdr:colOff>5495</xdr:colOff>
      <xdr:row>3</xdr:row>
      <xdr:rowOff>316736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C67BBEE-4E48-4B86-93C9-4942607BD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4085" y="908538"/>
          <a:ext cx="331785" cy="132098"/>
        </a:xfrm>
        <a:prstGeom prst="rect">
          <a:avLst/>
        </a:prstGeom>
      </xdr:spPr>
    </xdr:pic>
    <xdr:clientData/>
  </xdr:twoCellAnchor>
  <xdr:twoCellAnchor editAs="oneCell">
    <xdr:from>
      <xdr:col>3</xdr:col>
      <xdr:colOff>603617</xdr:colOff>
      <xdr:row>9</xdr:row>
      <xdr:rowOff>37001</xdr:rowOff>
    </xdr:from>
    <xdr:to>
      <xdr:col>4</xdr:col>
      <xdr:colOff>433917</xdr:colOff>
      <xdr:row>9</xdr:row>
      <xdr:rowOff>168596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6806C6F-6A2F-403A-8918-154DB383B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4392" y="1084751"/>
          <a:ext cx="439900" cy="131595"/>
        </a:xfrm>
        <a:prstGeom prst="rect">
          <a:avLst/>
        </a:prstGeom>
      </xdr:spPr>
    </xdr:pic>
    <xdr:clientData/>
  </xdr:twoCellAnchor>
  <xdr:twoCellAnchor editAs="oneCell">
    <xdr:from>
      <xdr:col>4</xdr:col>
      <xdr:colOff>206</xdr:colOff>
      <xdr:row>9</xdr:row>
      <xdr:rowOff>160826</xdr:rowOff>
    </xdr:from>
    <xdr:to>
      <xdr:col>4</xdr:col>
      <xdr:colOff>428625</xdr:colOff>
      <xdr:row>9</xdr:row>
      <xdr:rowOff>292924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4E0B48FA-F43D-4F9E-BA8D-7555FDDF1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0581" y="1208576"/>
          <a:ext cx="428419" cy="132098"/>
        </a:xfrm>
        <a:prstGeom prst="rect">
          <a:avLst/>
        </a:prstGeom>
      </xdr:spPr>
    </xdr:pic>
    <xdr:clientData/>
  </xdr:twoCellAnchor>
  <xdr:twoCellAnchor editAs="oneCell">
    <xdr:from>
      <xdr:col>4</xdr:col>
      <xdr:colOff>406766</xdr:colOff>
      <xdr:row>14</xdr:row>
      <xdr:rowOff>35942</xdr:rowOff>
    </xdr:from>
    <xdr:to>
      <xdr:col>5</xdr:col>
      <xdr:colOff>237066</xdr:colOff>
      <xdr:row>14</xdr:row>
      <xdr:rowOff>167537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97212F98-376D-468B-83C3-DCB3A4B5C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7141" y="1407542"/>
          <a:ext cx="439900" cy="131595"/>
        </a:xfrm>
        <a:prstGeom prst="rect">
          <a:avLst/>
        </a:prstGeom>
      </xdr:spPr>
    </xdr:pic>
    <xdr:clientData/>
  </xdr:twoCellAnchor>
  <xdr:twoCellAnchor editAs="oneCell">
    <xdr:from>
      <xdr:col>4</xdr:col>
      <xdr:colOff>411897</xdr:colOff>
      <xdr:row>14</xdr:row>
      <xdr:rowOff>159767</xdr:rowOff>
    </xdr:from>
    <xdr:to>
      <xdr:col>5</xdr:col>
      <xdr:colOff>231774</xdr:colOff>
      <xdr:row>14</xdr:row>
      <xdr:rowOff>291865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7CD2DC22-F2F8-4B5B-947B-067CA64DE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2272" y="1531367"/>
          <a:ext cx="429477" cy="132098"/>
        </a:xfrm>
        <a:prstGeom prst="rect">
          <a:avLst/>
        </a:prstGeom>
      </xdr:spPr>
    </xdr:pic>
    <xdr:clientData/>
  </xdr:twoCellAnchor>
  <xdr:twoCellAnchor editAs="oneCell">
    <xdr:from>
      <xdr:col>5</xdr:col>
      <xdr:colOff>227909</xdr:colOff>
      <xdr:row>19</xdr:row>
      <xdr:rowOff>31710</xdr:rowOff>
    </xdr:from>
    <xdr:to>
      <xdr:col>5</xdr:col>
      <xdr:colOff>560227</xdr:colOff>
      <xdr:row>19</xdr:row>
      <xdr:rowOff>163305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A0180A1E-0B71-443D-A96D-57AF58BBE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7884" y="1727160"/>
          <a:ext cx="332318" cy="131595"/>
        </a:xfrm>
        <a:prstGeom prst="rect">
          <a:avLst/>
        </a:prstGeom>
      </xdr:spPr>
    </xdr:pic>
    <xdr:clientData/>
  </xdr:twoCellAnchor>
  <xdr:twoCellAnchor editAs="oneCell">
    <xdr:from>
      <xdr:col>5</xdr:col>
      <xdr:colOff>233040</xdr:colOff>
      <xdr:row>19</xdr:row>
      <xdr:rowOff>155535</xdr:rowOff>
    </xdr:from>
    <xdr:to>
      <xdr:col>5</xdr:col>
      <xdr:colOff>563767</xdr:colOff>
      <xdr:row>19</xdr:row>
      <xdr:rowOff>287633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C5DB9DC5-3D72-44B6-AC48-110C0775A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3015" y="1850985"/>
          <a:ext cx="330727" cy="132098"/>
        </a:xfrm>
        <a:prstGeom prst="rect">
          <a:avLst/>
        </a:prstGeom>
      </xdr:spPr>
    </xdr:pic>
    <xdr:clientData/>
  </xdr:twoCellAnchor>
  <xdr:twoCellAnchor editAs="oneCell">
    <xdr:from>
      <xdr:col>5</xdr:col>
      <xdr:colOff>550701</xdr:colOff>
      <xdr:row>22</xdr:row>
      <xdr:rowOff>34356</xdr:rowOff>
    </xdr:from>
    <xdr:to>
      <xdr:col>6</xdr:col>
      <xdr:colOff>273419</xdr:colOff>
      <xdr:row>22</xdr:row>
      <xdr:rowOff>165951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A7356A3B-8373-4E98-97CE-240470EFE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0676" y="2053656"/>
          <a:ext cx="332318" cy="131595"/>
        </a:xfrm>
        <a:prstGeom prst="rect">
          <a:avLst/>
        </a:prstGeom>
      </xdr:spPr>
    </xdr:pic>
    <xdr:clientData/>
  </xdr:twoCellAnchor>
  <xdr:twoCellAnchor editAs="oneCell">
    <xdr:from>
      <xdr:col>5</xdr:col>
      <xdr:colOff>555832</xdr:colOff>
      <xdr:row>22</xdr:row>
      <xdr:rowOff>158181</xdr:rowOff>
    </xdr:from>
    <xdr:to>
      <xdr:col>6</xdr:col>
      <xdr:colOff>276959</xdr:colOff>
      <xdr:row>22</xdr:row>
      <xdr:rowOff>290279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63AD6F78-5F07-42A9-A0D3-4D6435E35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5807" y="2177481"/>
          <a:ext cx="330727" cy="132098"/>
        </a:xfrm>
        <a:prstGeom prst="rect">
          <a:avLst/>
        </a:prstGeom>
      </xdr:spPr>
    </xdr:pic>
    <xdr:clientData/>
  </xdr:twoCellAnchor>
  <xdr:twoCellAnchor editAs="oneCell">
    <xdr:from>
      <xdr:col>6</xdr:col>
      <xdr:colOff>262230</xdr:colOff>
      <xdr:row>25</xdr:row>
      <xdr:rowOff>39799</xdr:rowOff>
    </xdr:from>
    <xdr:to>
      <xdr:col>6</xdr:col>
      <xdr:colOff>448822</xdr:colOff>
      <xdr:row>25</xdr:row>
      <xdr:rowOff>171394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A829311C-6F6A-4B96-9C84-49484A361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1805" y="2382949"/>
          <a:ext cx="186592" cy="131595"/>
        </a:xfrm>
        <a:prstGeom prst="rect">
          <a:avLst/>
        </a:prstGeom>
      </xdr:spPr>
    </xdr:pic>
    <xdr:clientData/>
  </xdr:twoCellAnchor>
  <xdr:twoCellAnchor editAs="oneCell">
    <xdr:from>
      <xdr:col>6</xdr:col>
      <xdr:colOff>267361</xdr:colOff>
      <xdr:row>25</xdr:row>
      <xdr:rowOff>163624</xdr:rowOff>
    </xdr:from>
    <xdr:to>
      <xdr:col>6</xdr:col>
      <xdr:colOff>446328</xdr:colOff>
      <xdr:row>25</xdr:row>
      <xdr:rowOff>295722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EA5A0AC3-1B07-4E8F-A1A0-4D8D7A7FC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6936" y="2506774"/>
          <a:ext cx="178967" cy="132098"/>
        </a:xfrm>
        <a:prstGeom prst="rect">
          <a:avLst/>
        </a:prstGeom>
      </xdr:spPr>
    </xdr:pic>
    <xdr:clientData/>
  </xdr:twoCellAnchor>
  <xdr:twoCellAnchor editAs="oneCell">
    <xdr:from>
      <xdr:col>6</xdr:col>
      <xdr:colOff>445926</xdr:colOff>
      <xdr:row>28</xdr:row>
      <xdr:rowOff>30415</xdr:rowOff>
    </xdr:from>
    <xdr:to>
      <xdr:col>7</xdr:col>
      <xdr:colOff>168644</xdr:colOff>
      <xdr:row>28</xdr:row>
      <xdr:rowOff>162010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4792CC42-1A7F-4016-ABC5-71DEDBE6A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5501" y="2697415"/>
          <a:ext cx="332318" cy="131595"/>
        </a:xfrm>
        <a:prstGeom prst="rect">
          <a:avLst/>
        </a:prstGeom>
      </xdr:spPr>
    </xdr:pic>
    <xdr:clientData/>
  </xdr:twoCellAnchor>
  <xdr:twoCellAnchor editAs="oneCell">
    <xdr:from>
      <xdr:col>6</xdr:col>
      <xdr:colOff>451056</xdr:colOff>
      <xdr:row>28</xdr:row>
      <xdr:rowOff>154239</xdr:rowOff>
    </xdr:from>
    <xdr:to>
      <xdr:col>7</xdr:col>
      <xdr:colOff>158749</xdr:colOff>
      <xdr:row>28</xdr:row>
      <xdr:rowOff>279400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7959B1C1-834F-4CBA-85D0-E72294EFB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0631" y="2821239"/>
          <a:ext cx="317293" cy="125161"/>
        </a:xfrm>
        <a:prstGeom prst="rect">
          <a:avLst/>
        </a:prstGeom>
      </xdr:spPr>
    </xdr:pic>
    <xdr:clientData/>
  </xdr:twoCellAnchor>
  <xdr:twoCellAnchor editAs="oneCell">
    <xdr:from>
      <xdr:col>7</xdr:col>
      <xdr:colOff>120216</xdr:colOff>
      <xdr:row>33</xdr:row>
      <xdr:rowOff>49772</xdr:rowOff>
    </xdr:from>
    <xdr:to>
      <xdr:col>7</xdr:col>
      <xdr:colOff>562837</xdr:colOff>
      <xdr:row>33</xdr:row>
      <xdr:rowOff>181367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A57EA31D-4120-4867-9117-064A1B74E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9391" y="3040622"/>
          <a:ext cx="442621" cy="131595"/>
        </a:xfrm>
        <a:prstGeom prst="rect">
          <a:avLst/>
        </a:prstGeom>
      </xdr:spPr>
    </xdr:pic>
    <xdr:clientData/>
  </xdr:twoCellAnchor>
  <xdr:twoCellAnchor editAs="oneCell">
    <xdr:from>
      <xdr:col>7</xdr:col>
      <xdr:colOff>547980</xdr:colOff>
      <xdr:row>37</xdr:row>
      <xdr:rowOff>70562</xdr:rowOff>
    </xdr:from>
    <xdr:to>
      <xdr:col>8</xdr:col>
      <xdr:colOff>270698</xdr:colOff>
      <xdr:row>37</xdr:row>
      <xdr:rowOff>202157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0D04F706-8FD4-47B8-8172-90E36AD30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7155" y="3385262"/>
          <a:ext cx="332318" cy="131595"/>
        </a:xfrm>
        <a:prstGeom prst="rect">
          <a:avLst/>
        </a:prstGeom>
      </xdr:spPr>
    </xdr:pic>
    <xdr:clientData/>
  </xdr:twoCellAnchor>
  <xdr:twoCellAnchor editAs="oneCell">
    <xdr:from>
      <xdr:col>10</xdr:col>
      <xdr:colOff>335140</xdr:colOff>
      <xdr:row>47</xdr:row>
      <xdr:rowOff>87894</xdr:rowOff>
    </xdr:from>
    <xdr:to>
      <xdr:col>11</xdr:col>
      <xdr:colOff>57857</xdr:colOff>
      <xdr:row>47</xdr:row>
      <xdr:rowOff>219489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8AC35964-45AA-4AB8-9574-2B04DF24D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3115" y="4697994"/>
          <a:ext cx="332317" cy="131595"/>
        </a:xfrm>
        <a:prstGeom prst="rect">
          <a:avLst/>
        </a:prstGeom>
      </xdr:spPr>
    </xdr:pic>
    <xdr:clientData/>
  </xdr:twoCellAnchor>
  <xdr:twoCellAnchor editAs="oneCell">
    <xdr:from>
      <xdr:col>11</xdr:col>
      <xdr:colOff>57970</xdr:colOff>
      <xdr:row>48</xdr:row>
      <xdr:rowOff>110177</xdr:rowOff>
    </xdr:from>
    <xdr:to>
      <xdr:col>11</xdr:col>
      <xdr:colOff>500591</xdr:colOff>
      <xdr:row>48</xdr:row>
      <xdr:rowOff>241772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41FAEF92-8B39-4555-93D6-47C272B8A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5545" y="5044127"/>
          <a:ext cx="442621" cy="131595"/>
        </a:xfrm>
        <a:prstGeom prst="rect">
          <a:avLst/>
        </a:prstGeom>
      </xdr:spPr>
    </xdr:pic>
    <xdr:clientData/>
  </xdr:twoCellAnchor>
  <xdr:twoCellAnchor editAs="oneCell">
    <xdr:from>
      <xdr:col>11</xdr:col>
      <xdr:colOff>511882</xdr:colOff>
      <xdr:row>49</xdr:row>
      <xdr:rowOff>91068</xdr:rowOff>
    </xdr:from>
    <xdr:to>
      <xdr:col>12</xdr:col>
      <xdr:colOff>234600</xdr:colOff>
      <xdr:row>49</xdr:row>
      <xdr:rowOff>222663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7BC14853-09D8-4A0E-8F3D-3702FA1B4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9457" y="5348868"/>
          <a:ext cx="332318" cy="131595"/>
        </a:xfrm>
        <a:prstGeom prst="rect">
          <a:avLst/>
        </a:prstGeom>
      </xdr:spPr>
    </xdr:pic>
    <xdr:clientData/>
  </xdr:twoCellAnchor>
  <xdr:twoCellAnchor editAs="oneCell">
    <xdr:from>
      <xdr:col>12</xdr:col>
      <xdr:colOff>267559</xdr:colOff>
      <xdr:row>50</xdr:row>
      <xdr:rowOff>107247</xdr:rowOff>
    </xdr:from>
    <xdr:to>
      <xdr:col>13</xdr:col>
      <xdr:colOff>307975</xdr:colOff>
      <xdr:row>50</xdr:row>
      <xdr:rowOff>238842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ADFD3993-7B48-4544-8141-CC805E093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44734" y="5688897"/>
          <a:ext cx="650016" cy="131595"/>
        </a:xfrm>
        <a:prstGeom prst="rect">
          <a:avLst/>
        </a:prstGeom>
      </xdr:spPr>
    </xdr:pic>
    <xdr:clientData/>
  </xdr:twoCellAnchor>
  <xdr:twoCellAnchor editAs="oneCell">
    <xdr:from>
      <xdr:col>13</xdr:col>
      <xdr:colOff>286609</xdr:colOff>
      <xdr:row>51</xdr:row>
      <xdr:rowOff>94547</xdr:rowOff>
    </xdr:from>
    <xdr:to>
      <xdr:col>14</xdr:col>
      <xdr:colOff>327025</xdr:colOff>
      <xdr:row>51</xdr:row>
      <xdr:rowOff>226142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5E6FD9EF-0886-470D-A42C-23924C91C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384" y="6000047"/>
          <a:ext cx="650016" cy="131595"/>
        </a:xfrm>
        <a:prstGeom prst="rect">
          <a:avLst/>
        </a:prstGeom>
      </xdr:spPr>
    </xdr:pic>
    <xdr:clientData/>
  </xdr:twoCellAnchor>
  <xdr:twoCellAnchor editAs="oneCell">
    <xdr:from>
      <xdr:col>14</xdr:col>
      <xdr:colOff>346782</xdr:colOff>
      <xdr:row>52</xdr:row>
      <xdr:rowOff>110118</xdr:rowOff>
    </xdr:from>
    <xdr:to>
      <xdr:col>15</xdr:col>
      <xdr:colOff>69500</xdr:colOff>
      <xdr:row>52</xdr:row>
      <xdr:rowOff>241713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0CB17C5A-5A4F-4071-8B33-C13F45F1D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3157" y="6339468"/>
          <a:ext cx="332318" cy="131595"/>
        </a:xfrm>
        <a:prstGeom prst="rect">
          <a:avLst/>
        </a:prstGeom>
      </xdr:spPr>
    </xdr:pic>
    <xdr:clientData/>
  </xdr:twoCellAnchor>
  <xdr:twoCellAnchor editAs="oneCell">
    <xdr:from>
      <xdr:col>15</xdr:col>
      <xdr:colOff>99132</xdr:colOff>
      <xdr:row>53</xdr:row>
      <xdr:rowOff>116468</xdr:rowOff>
    </xdr:from>
    <xdr:to>
      <xdr:col>15</xdr:col>
      <xdr:colOff>431450</xdr:colOff>
      <xdr:row>53</xdr:row>
      <xdr:rowOff>248063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BAF1EA72-B08B-4D2B-A9C0-9EEB1B4CD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5107" y="6669668"/>
          <a:ext cx="332318" cy="131595"/>
        </a:xfrm>
        <a:prstGeom prst="rect">
          <a:avLst/>
        </a:prstGeom>
      </xdr:spPr>
    </xdr:pic>
    <xdr:clientData/>
  </xdr:twoCellAnchor>
  <xdr:twoCellAnchor editAs="oneCell">
    <xdr:from>
      <xdr:col>15</xdr:col>
      <xdr:colOff>450270</xdr:colOff>
      <xdr:row>54</xdr:row>
      <xdr:rowOff>103997</xdr:rowOff>
    </xdr:from>
    <xdr:to>
      <xdr:col>16</xdr:col>
      <xdr:colOff>27262</xdr:colOff>
      <xdr:row>54</xdr:row>
      <xdr:rowOff>235592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DBC9A11D-F011-4363-8920-C6CEBDEF0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6245" y="6981047"/>
          <a:ext cx="186592" cy="131595"/>
        </a:xfrm>
        <a:prstGeom prst="rect">
          <a:avLst/>
        </a:prstGeom>
      </xdr:spPr>
    </xdr:pic>
    <xdr:clientData/>
  </xdr:twoCellAnchor>
  <xdr:twoCellAnchor editAs="oneCell">
    <xdr:from>
      <xdr:col>7</xdr:col>
      <xdr:colOff>130940</xdr:colOff>
      <xdr:row>33</xdr:row>
      <xdr:rowOff>180013</xdr:rowOff>
    </xdr:from>
    <xdr:to>
      <xdr:col>7</xdr:col>
      <xdr:colOff>554933</xdr:colOff>
      <xdr:row>33</xdr:row>
      <xdr:rowOff>306295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9FA2106D-6D53-4652-BC87-1AB59D976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0115" y="3170863"/>
          <a:ext cx="423993" cy="126282"/>
        </a:xfrm>
        <a:prstGeom prst="rect">
          <a:avLst/>
        </a:prstGeom>
      </xdr:spPr>
    </xdr:pic>
    <xdr:clientData/>
  </xdr:twoCellAnchor>
  <xdr:twoCellAnchor editAs="oneCell">
    <xdr:from>
      <xdr:col>7</xdr:col>
      <xdr:colOff>556666</xdr:colOff>
      <xdr:row>37</xdr:row>
      <xdr:rowOff>199891</xdr:rowOff>
    </xdr:from>
    <xdr:to>
      <xdr:col>8</xdr:col>
      <xdr:colOff>260902</xdr:colOff>
      <xdr:row>37</xdr:row>
      <xdr:rowOff>321468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B4EE753E-8491-408C-BD23-7DF0B4F00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85841" y="3514591"/>
          <a:ext cx="313836" cy="123959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45</xdr:row>
      <xdr:rowOff>82550</xdr:rowOff>
    </xdr:from>
    <xdr:to>
      <xdr:col>10</xdr:col>
      <xdr:colOff>137821</xdr:colOff>
      <xdr:row>45</xdr:row>
      <xdr:rowOff>214145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E97947E6-B0BF-4B43-896B-AA4D61C6B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6350" y="4051300"/>
          <a:ext cx="442621" cy="131595"/>
        </a:xfrm>
        <a:prstGeom prst="rect">
          <a:avLst/>
        </a:prstGeom>
      </xdr:spPr>
    </xdr:pic>
    <xdr:clientData/>
  </xdr:twoCellAnchor>
  <xdr:twoCellAnchor editAs="oneCell">
    <xdr:from>
      <xdr:col>10</xdr:col>
      <xdr:colOff>146050</xdr:colOff>
      <xdr:row>46</xdr:row>
      <xdr:rowOff>95250</xdr:rowOff>
    </xdr:from>
    <xdr:to>
      <xdr:col>10</xdr:col>
      <xdr:colOff>588671</xdr:colOff>
      <xdr:row>46</xdr:row>
      <xdr:rowOff>226845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1ADF8913-2A6D-4056-BCA5-6E424A706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7200" y="4387850"/>
          <a:ext cx="442621" cy="131595"/>
        </a:xfrm>
        <a:prstGeom prst="rect">
          <a:avLst/>
        </a:prstGeom>
      </xdr:spPr>
    </xdr:pic>
    <xdr:clientData/>
  </xdr:twoCellAnchor>
  <xdr:twoCellAnchor editAs="oneCell">
    <xdr:from>
      <xdr:col>8</xdr:col>
      <xdr:colOff>297626</xdr:colOff>
      <xdr:row>42</xdr:row>
      <xdr:rowOff>90579</xdr:rowOff>
    </xdr:from>
    <xdr:to>
      <xdr:col>10</xdr:col>
      <xdr:colOff>396040</xdr:colOff>
      <xdr:row>42</xdr:row>
      <xdr:rowOff>222174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C734F1FF-E72C-41F2-96B2-4559C40D9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6929" y="3750184"/>
          <a:ext cx="1321624" cy="131595"/>
        </a:xfrm>
        <a:prstGeom prst="rect">
          <a:avLst/>
        </a:prstGeom>
      </xdr:spPr>
    </xdr:pic>
    <xdr:clientData/>
  </xdr:twoCellAnchor>
  <xdr:twoCellAnchor editAs="oneCell">
    <xdr:from>
      <xdr:col>10</xdr:col>
      <xdr:colOff>363110</xdr:colOff>
      <xdr:row>43</xdr:row>
      <xdr:rowOff>84626</xdr:rowOff>
    </xdr:from>
    <xdr:to>
      <xdr:col>11</xdr:col>
      <xdr:colOff>193411</xdr:colOff>
      <xdr:row>43</xdr:row>
      <xdr:rowOff>216221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7E036AC6-1859-485A-B382-BC86180FE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6798" y="4025595"/>
          <a:ext cx="437519" cy="131595"/>
        </a:xfrm>
        <a:prstGeom prst="rect">
          <a:avLst/>
        </a:prstGeom>
      </xdr:spPr>
    </xdr:pic>
    <xdr:clientData/>
  </xdr:twoCellAnchor>
  <xdr:twoCellAnchor editAs="oneCell">
    <xdr:from>
      <xdr:col>11</xdr:col>
      <xdr:colOff>214487</xdr:colOff>
      <xdr:row>44</xdr:row>
      <xdr:rowOff>77647</xdr:rowOff>
    </xdr:from>
    <xdr:to>
      <xdr:col>12</xdr:col>
      <xdr:colOff>44788</xdr:colOff>
      <xdr:row>44</xdr:row>
      <xdr:rowOff>209242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CC887F5E-9C94-4981-9064-619ACCEF6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2901" y="4334337"/>
          <a:ext cx="441215" cy="131595"/>
        </a:xfrm>
        <a:prstGeom prst="rect">
          <a:avLst/>
        </a:prstGeom>
      </xdr:spPr>
    </xdr:pic>
    <xdr:clientData/>
  </xdr:twoCellAnchor>
  <xdr:twoCellAnchor editAs="oneCell">
    <xdr:from>
      <xdr:col>8</xdr:col>
      <xdr:colOff>327737</xdr:colOff>
      <xdr:row>42</xdr:row>
      <xdr:rowOff>190695</xdr:rowOff>
    </xdr:from>
    <xdr:to>
      <xdr:col>11</xdr:col>
      <xdr:colOff>466725</xdr:colOff>
      <xdr:row>42</xdr:row>
      <xdr:rowOff>312272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3C37F992-B93C-4890-99CD-D726802A9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6512" y="3829245"/>
          <a:ext cx="1967788" cy="121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6E6B-90EE-4788-A14E-E8C1015C7C79}">
  <dimension ref="A2:G24"/>
  <sheetViews>
    <sheetView zoomScale="190" zoomScaleNormal="190" workbookViewId="0">
      <selection activeCell="D13" sqref="D13"/>
    </sheetView>
  </sheetViews>
  <sheetFormatPr defaultRowHeight="15.75" x14ac:dyDescent="0.25"/>
  <cols>
    <col min="1" max="1" width="9.140625" style="4"/>
    <col min="2" max="2" width="11.85546875" style="4" customWidth="1"/>
    <col min="3" max="3" width="39.85546875" style="4" customWidth="1"/>
    <col min="4" max="4" width="44.7109375" style="4" customWidth="1"/>
    <col min="5" max="5" width="4.5703125" style="4" customWidth="1"/>
    <col min="6" max="6" width="51.42578125" style="4" bestFit="1" customWidth="1"/>
    <col min="7" max="7" width="38.140625" style="4" bestFit="1" customWidth="1"/>
  </cols>
  <sheetData>
    <row r="2" spans="2:7" x14ac:dyDescent="0.25">
      <c r="B2" s="5"/>
      <c r="C2" s="6" t="s">
        <v>0</v>
      </c>
      <c r="D2" s="6" t="s">
        <v>1</v>
      </c>
      <c r="F2" s="6" t="s">
        <v>26</v>
      </c>
      <c r="G2" s="6" t="s">
        <v>25</v>
      </c>
    </row>
    <row r="3" spans="2:7" x14ac:dyDescent="0.25">
      <c r="B3" s="7" t="s">
        <v>10</v>
      </c>
      <c r="C3" s="8" t="s">
        <v>27</v>
      </c>
      <c r="D3" s="8" t="s">
        <v>14</v>
      </c>
      <c r="F3" s="5" t="s">
        <v>71</v>
      </c>
      <c r="G3" s="5" t="s">
        <v>70</v>
      </c>
    </row>
    <row r="4" spans="2:7" x14ac:dyDescent="0.25">
      <c r="B4" s="7" t="s">
        <v>24</v>
      </c>
      <c r="C4" s="8" t="s">
        <v>48</v>
      </c>
      <c r="D4" s="8" t="s">
        <v>20</v>
      </c>
      <c r="F4" s="8" t="s">
        <v>19</v>
      </c>
      <c r="G4" s="8" t="s">
        <v>28</v>
      </c>
    </row>
    <row r="5" spans="2:7" x14ac:dyDescent="0.25">
      <c r="B5" s="7" t="s">
        <v>4</v>
      </c>
      <c r="C5" s="8" t="s">
        <v>3</v>
      </c>
      <c r="D5" s="9">
        <v>0.25</v>
      </c>
      <c r="F5" s="5" t="s">
        <v>72</v>
      </c>
      <c r="G5" s="13" t="s">
        <v>29</v>
      </c>
    </row>
    <row r="6" spans="2:7" x14ac:dyDescent="0.25">
      <c r="B6" s="7" t="s">
        <v>11</v>
      </c>
      <c r="C6" s="8" t="s">
        <v>12</v>
      </c>
      <c r="D6" s="8" t="s">
        <v>13</v>
      </c>
      <c r="F6" s="8" t="s">
        <v>37</v>
      </c>
      <c r="G6" s="13" t="s">
        <v>38</v>
      </c>
    </row>
    <row r="7" spans="2:7" x14ac:dyDescent="0.25">
      <c r="B7" s="7" t="s">
        <v>7</v>
      </c>
      <c r="C7" s="39" t="s">
        <v>18</v>
      </c>
      <c r="D7" s="39"/>
      <c r="F7" s="40" t="s">
        <v>69</v>
      </c>
      <c r="G7" s="41"/>
    </row>
    <row r="8" spans="2:7" x14ac:dyDescent="0.25">
      <c r="B8" s="7" t="s">
        <v>8</v>
      </c>
      <c r="C8" s="8" t="s">
        <v>15</v>
      </c>
      <c r="D8" s="8" t="s">
        <v>30</v>
      </c>
      <c r="F8" s="5" t="s">
        <v>9</v>
      </c>
      <c r="G8" s="13" t="s">
        <v>30</v>
      </c>
    </row>
    <row r="9" spans="2:7" x14ac:dyDescent="0.25">
      <c r="B9" s="7" t="s">
        <v>16</v>
      </c>
      <c r="C9" s="39" t="s">
        <v>17</v>
      </c>
      <c r="D9" s="39"/>
      <c r="F9" s="5" t="s">
        <v>31</v>
      </c>
      <c r="G9" s="5" t="s">
        <v>32</v>
      </c>
    </row>
    <row r="10" spans="2:7" x14ac:dyDescent="0.25">
      <c r="B10" s="7" t="s">
        <v>23</v>
      </c>
      <c r="C10" s="8" t="s">
        <v>21</v>
      </c>
      <c r="D10" s="8" t="s">
        <v>22</v>
      </c>
      <c r="F10" s="13" t="s">
        <v>33</v>
      </c>
      <c r="G10" s="13" t="s">
        <v>34</v>
      </c>
    </row>
    <row r="11" spans="2:7" x14ac:dyDescent="0.25">
      <c r="B11" s="7" t="s">
        <v>2</v>
      </c>
      <c r="C11" s="8" t="s">
        <v>6</v>
      </c>
      <c r="D11" s="8" t="s">
        <v>5</v>
      </c>
      <c r="F11" s="42" t="s">
        <v>35</v>
      </c>
      <c r="G11" s="42"/>
    </row>
    <row r="12" spans="2:7" x14ac:dyDescent="0.25">
      <c r="B12" s="7" t="s">
        <v>36</v>
      </c>
      <c r="C12" s="8" t="s">
        <v>37</v>
      </c>
      <c r="D12" s="8" t="s">
        <v>39</v>
      </c>
      <c r="F12" s="5" t="s">
        <v>37</v>
      </c>
      <c r="G12" s="5" t="s">
        <v>39</v>
      </c>
    </row>
    <row r="13" spans="2:7" x14ac:dyDescent="0.25">
      <c r="C13" s="10"/>
      <c r="D13" s="10"/>
    </row>
    <row r="14" spans="2:7" x14ac:dyDescent="0.25">
      <c r="C14" s="10"/>
      <c r="D14" s="10"/>
    </row>
    <row r="15" spans="2:7" x14ac:dyDescent="0.25">
      <c r="C15" s="10"/>
      <c r="D15" s="10"/>
    </row>
    <row r="16" spans="2:7" x14ac:dyDescent="0.25">
      <c r="C16" s="10"/>
      <c r="D16" s="10"/>
    </row>
    <row r="17" spans="3:4" x14ac:dyDescent="0.25">
      <c r="C17" s="10"/>
      <c r="D17" s="10"/>
    </row>
    <row r="18" spans="3:4" x14ac:dyDescent="0.25">
      <c r="C18" s="10"/>
      <c r="D18" s="10"/>
    </row>
    <row r="19" spans="3:4" x14ac:dyDescent="0.25">
      <c r="C19" s="10"/>
      <c r="D19" s="10"/>
    </row>
    <row r="20" spans="3:4" x14ac:dyDescent="0.25">
      <c r="C20" s="10"/>
      <c r="D20" s="10"/>
    </row>
    <row r="21" spans="3:4" x14ac:dyDescent="0.25">
      <c r="C21" s="10"/>
      <c r="D21" s="10"/>
    </row>
    <row r="22" spans="3:4" x14ac:dyDescent="0.25">
      <c r="C22" s="10"/>
      <c r="D22" s="10"/>
    </row>
    <row r="23" spans="3:4" x14ac:dyDescent="0.25">
      <c r="C23" s="11"/>
      <c r="D23" s="11"/>
    </row>
    <row r="24" spans="3:4" x14ac:dyDescent="0.25">
      <c r="C24" s="11"/>
      <c r="D24" s="11"/>
    </row>
  </sheetData>
  <mergeCells count="4">
    <mergeCell ref="C7:D7"/>
    <mergeCell ref="C9:D9"/>
    <mergeCell ref="F7:G7"/>
    <mergeCell ref="F11:G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F696-4440-45C6-886B-FE35B81CF5E3}">
  <dimension ref="B2:D12"/>
  <sheetViews>
    <sheetView zoomScale="220" zoomScaleNormal="220" workbookViewId="0">
      <selection activeCell="D4" sqref="D4"/>
    </sheetView>
  </sheetViews>
  <sheetFormatPr defaultRowHeight="15.75" x14ac:dyDescent="0.25"/>
  <cols>
    <col min="2" max="2" width="11.5703125" customWidth="1"/>
    <col min="3" max="3" width="40.42578125" bestFit="1" customWidth="1"/>
    <col min="4" max="4" width="32.42578125" bestFit="1" customWidth="1"/>
  </cols>
  <sheetData>
    <row r="2" spans="2:4" x14ac:dyDescent="0.25">
      <c r="B2" s="5"/>
      <c r="C2" s="6" t="s">
        <v>40</v>
      </c>
      <c r="D2" s="6" t="s">
        <v>41</v>
      </c>
    </row>
    <row r="3" spans="2:4" x14ac:dyDescent="0.25">
      <c r="B3" s="7" t="s">
        <v>42</v>
      </c>
      <c r="C3" s="8" t="s">
        <v>43</v>
      </c>
      <c r="D3" s="8" t="s">
        <v>45</v>
      </c>
    </row>
    <row r="4" spans="2:4" x14ac:dyDescent="0.25">
      <c r="B4" s="7" t="s">
        <v>44</v>
      </c>
      <c r="C4" s="8"/>
      <c r="D4" s="8" t="s">
        <v>46</v>
      </c>
    </row>
    <row r="5" spans="2:4" x14ac:dyDescent="0.25">
      <c r="B5" s="7" t="s">
        <v>47</v>
      </c>
      <c r="C5" s="8"/>
      <c r="D5" s="9" t="s">
        <v>51</v>
      </c>
    </row>
    <row r="6" spans="2:4" x14ac:dyDescent="0.25">
      <c r="B6" s="7" t="s">
        <v>49</v>
      </c>
      <c r="C6" s="8"/>
      <c r="D6" s="8" t="s">
        <v>50</v>
      </c>
    </row>
    <row r="7" spans="2:4" x14ac:dyDescent="0.25">
      <c r="B7" s="7" t="s">
        <v>52</v>
      </c>
      <c r="C7" s="12"/>
      <c r="D7" s="12" t="s">
        <v>31</v>
      </c>
    </row>
    <row r="8" spans="2:4" x14ac:dyDescent="0.25">
      <c r="B8" s="7" t="s">
        <v>53</v>
      </c>
      <c r="C8" s="8"/>
      <c r="D8" s="8" t="s">
        <v>54</v>
      </c>
    </row>
    <row r="9" spans="2:4" x14ac:dyDescent="0.25">
      <c r="B9" s="7" t="s">
        <v>73</v>
      </c>
      <c r="C9" s="12"/>
      <c r="D9" s="12"/>
    </row>
    <row r="10" spans="2:4" x14ac:dyDescent="0.25">
      <c r="B10" s="7" t="s">
        <v>74</v>
      </c>
      <c r="C10" s="8"/>
      <c r="D10" s="8"/>
    </row>
    <row r="11" spans="2:4" x14ac:dyDescent="0.25">
      <c r="B11" s="7"/>
      <c r="C11" s="8"/>
      <c r="D11" s="8"/>
    </row>
    <row r="12" spans="2:4" x14ac:dyDescent="0.25">
      <c r="B12" s="7"/>
      <c r="C12" s="8"/>
      <c r="D12" s="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D79A-FB13-4A11-B625-9CB7BFC6BBEB}">
  <dimension ref="A1:G28"/>
  <sheetViews>
    <sheetView topLeftCell="A4" zoomScale="170" zoomScaleNormal="170" workbookViewId="0">
      <selection activeCell="I29" sqref="I29"/>
    </sheetView>
  </sheetViews>
  <sheetFormatPr defaultRowHeight="15.75" x14ac:dyDescent="0.25"/>
  <cols>
    <col min="3" max="3" width="21.28515625" customWidth="1"/>
    <col min="4" max="4" width="41.5703125" bestFit="1" customWidth="1"/>
    <col min="5" max="6" width="12.5703125" customWidth="1"/>
    <col min="7" max="7" width="8.28515625" customWidth="1"/>
  </cols>
  <sheetData>
    <row r="1" spans="1:7" x14ac:dyDescent="0.25">
      <c r="A1" t="s">
        <v>112</v>
      </c>
      <c r="B1" t="s">
        <v>107</v>
      </c>
      <c r="C1" t="s">
        <v>108</v>
      </c>
      <c r="D1" t="s">
        <v>109</v>
      </c>
      <c r="E1" t="s">
        <v>104</v>
      </c>
      <c r="F1" t="s">
        <v>105</v>
      </c>
      <c r="G1" t="s">
        <v>106</v>
      </c>
    </row>
    <row r="2" spans="1:7" x14ac:dyDescent="0.25">
      <c r="A2">
        <v>1</v>
      </c>
      <c r="C2" s="18" t="s">
        <v>56</v>
      </c>
    </row>
    <row r="3" spans="1:7" x14ac:dyDescent="0.25">
      <c r="A3">
        <v>2</v>
      </c>
      <c r="B3">
        <v>10</v>
      </c>
      <c r="C3" s="14" t="s">
        <v>58</v>
      </c>
      <c r="D3" t="s">
        <v>59</v>
      </c>
      <c r="E3">
        <v>4</v>
      </c>
      <c r="F3">
        <v>4</v>
      </c>
      <c r="G3">
        <f t="shared" ref="G3:G9" si="0">E3+F3</f>
        <v>8</v>
      </c>
    </row>
    <row r="4" spans="1:7" x14ac:dyDescent="0.25">
      <c r="A4">
        <v>3</v>
      </c>
      <c r="B4">
        <v>180</v>
      </c>
      <c r="C4" s="14" t="s">
        <v>57</v>
      </c>
      <c r="D4" t="s">
        <v>61</v>
      </c>
      <c r="E4">
        <v>2</v>
      </c>
      <c r="F4">
        <v>4</v>
      </c>
      <c r="G4">
        <f t="shared" si="0"/>
        <v>6</v>
      </c>
    </row>
    <row r="5" spans="1:7" x14ac:dyDescent="0.25">
      <c r="A5">
        <v>4</v>
      </c>
      <c r="B5">
        <v>120</v>
      </c>
      <c r="C5" s="14" t="s">
        <v>99</v>
      </c>
      <c r="D5" t="s">
        <v>100</v>
      </c>
      <c r="E5">
        <v>4</v>
      </c>
      <c r="F5">
        <v>6</v>
      </c>
      <c r="G5">
        <f t="shared" si="0"/>
        <v>10</v>
      </c>
    </row>
    <row r="6" spans="1:7" x14ac:dyDescent="0.25">
      <c r="A6">
        <v>5</v>
      </c>
      <c r="B6">
        <v>140</v>
      </c>
      <c r="C6" s="14" t="s">
        <v>75</v>
      </c>
      <c r="D6" t="s">
        <v>76</v>
      </c>
      <c r="E6">
        <v>4</v>
      </c>
      <c r="F6">
        <v>8</v>
      </c>
      <c r="G6">
        <f t="shared" si="0"/>
        <v>12</v>
      </c>
    </row>
    <row r="7" spans="1:7" x14ac:dyDescent="0.25">
      <c r="A7">
        <v>6</v>
      </c>
      <c r="B7">
        <v>130</v>
      </c>
      <c r="C7" s="14" t="s">
        <v>78</v>
      </c>
      <c r="D7" t="s">
        <v>81</v>
      </c>
      <c r="E7">
        <v>6</v>
      </c>
      <c r="F7">
        <v>8</v>
      </c>
      <c r="G7">
        <f t="shared" si="0"/>
        <v>14</v>
      </c>
    </row>
    <row r="8" spans="1:7" x14ac:dyDescent="0.25">
      <c r="A8">
        <v>7</v>
      </c>
      <c r="B8">
        <v>150</v>
      </c>
      <c r="C8" s="14" t="s">
        <v>79</v>
      </c>
      <c r="D8" t="s">
        <v>80</v>
      </c>
      <c r="E8">
        <v>8</v>
      </c>
      <c r="F8">
        <v>8</v>
      </c>
      <c r="G8">
        <f t="shared" si="0"/>
        <v>16</v>
      </c>
    </row>
    <row r="9" spans="1:7" x14ac:dyDescent="0.25">
      <c r="A9">
        <v>8</v>
      </c>
      <c r="B9">
        <v>80</v>
      </c>
      <c r="C9" s="14" t="s">
        <v>93</v>
      </c>
      <c r="D9" t="s">
        <v>103</v>
      </c>
      <c r="E9">
        <v>6</v>
      </c>
      <c r="F9">
        <v>0</v>
      </c>
      <c r="G9">
        <f t="shared" si="0"/>
        <v>6</v>
      </c>
    </row>
    <row r="10" spans="1:7" x14ac:dyDescent="0.25">
      <c r="A10">
        <v>9</v>
      </c>
      <c r="C10" s="19" t="s">
        <v>55</v>
      </c>
    </row>
    <row r="11" spans="1:7" x14ac:dyDescent="0.25">
      <c r="A11">
        <v>10</v>
      </c>
      <c r="B11">
        <v>30</v>
      </c>
      <c r="C11" s="15" t="s">
        <v>62</v>
      </c>
      <c r="D11" t="s">
        <v>67</v>
      </c>
      <c r="E11">
        <v>6</v>
      </c>
      <c r="F11">
        <v>8</v>
      </c>
      <c r="G11">
        <f>E11+F11</f>
        <v>14</v>
      </c>
    </row>
    <row r="12" spans="1:7" x14ac:dyDescent="0.25">
      <c r="A12">
        <v>11</v>
      </c>
      <c r="B12">
        <v>40</v>
      </c>
      <c r="C12" s="15" t="s">
        <v>64</v>
      </c>
      <c r="D12" t="s">
        <v>68</v>
      </c>
      <c r="E12">
        <v>4</v>
      </c>
      <c r="F12">
        <v>8</v>
      </c>
      <c r="G12">
        <f>E12+F12</f>
        <v>12</v>
      </c>
    </row>
    <row r="13" spans="1:7" x14ac:dyDescent="0.25">
      <c r="A13">
        <v>12</v>
      </c>
      <c r="B13">
        <v>50</v>
      </c>
      <c r="C13" s="15" t="s">
        <v>84</v>
      </c>
      <c r="D13" t="s">
        <v>77</v>
      </c>
      <c r="E13">
        <v>4</v>
      </c>
      <c r="F13">
        <v>8</v>
      </c>
      <c r="G13">
        <f>E13+F13</f>
        <v>12</v>
      </c>
    </row>
    <row r="14" spans="1:7" x14ac:dyDescent="0.25">
      <c r="A14">
        <v>13</v>
      </c>
      <c r="B14">
        <v>160</v>
      </c>
      <c r="C14" s="15" t="s">
        <v>89</v>
      </c>
      <c r="D14" t="s">
        <v>90</v>
      </c>
      <c r="E14">
        <v>8</v>
      </c>
      <c r="F14">
        <v>0</v>
      </c>
      <c r="G14">
        <f>E14+F14</f>
        <v>8</v>
      </c>
    </row>
    <row r="15" spans="1:7" x14ac:dyDescent="0.25">
      <c r="A15">
        <v>14</v>
      </c>
      <c r="B15">
        <v>100</v>
      </c>
      <c r="C15" s="15" t="s">
        <v>91</v>
      </c>
      <c r="D15" t="s">
        <v>92</v>
      </c>
      <c r="E15">
        <v>4</v>
      </c>
      <c r="F15">
        <v>2</v>
      </c>
      <c r="G15">
        <f>E15+F15</f>
        <v>6</v>
      </c>
    </row>
    <row r="16" spans="1:7" x14ac:dyDescent="0.25">
      <c r="A16">
        <v>15</v>
      </c>
      <c r="C16" s="20" t="s">
        <v>82</v>
      </c>
    </row>
    <row r="17" spans="1:7" x14ac:dyDescent="0.25">
      <c r="A17">
        <v>16</v>
      </c>
      <c r="B17">
        <v>60</v>
      </c>
      <c r="C17" s="16" t="s">
        <v>62</v>
      </c>
      <c r="D17" t="s">
        <v>66</v>
      </c>
      <c r="E17">
        <v>6</v>
      </c>
      <c r="F17">
        <v>8</v>
      </c>
      <c r="G17">
        <f>E17+F17</f>
        <v>14</v>
      </c>
    </row>
    <row r="18" spans="1:7" x14ac:dyDescent="0.25">
      <c r="A18">
        <v>17</v>
      </c>
      <c r="B18">
        <v>70</v>
      </c>
      <c r="C18" s="16" t="s">
        <v>86</v>
      </c>
      <c r="D18" t="s">
        <v>87</v>
      </c>
      <c r="E18">
        <v>4</v>
      </c>
      <c r="F18">
        <v>6</v>
      </c>
      <c r="G18">
        <f>E18+F18</f>
        <v>10</v>
      </c>
    </row>
    <row r="19" spans="1:7" x14ac:dyDescent="0.25">
      <c r="A19">
        <v>18</v>
      </c>
      <c r="B19">
        <v>90</v>
      </c>
      <c r="C19" s="16" t="s">
        <v>83</v>
      </c>
      <c r="D19" t="s">
        <v>85</v>
      </c>
      <c r="E19">
        <v>4</v>
      </c>
      <c r="F19">
        <v>6</v>
      </c>
      <c r="G19">
        <f>E19+F19</f>
        <v>10</v>
      </c>
    </row>
    <row r="20" spans="1:7" x14ac:dyDescent="0.25">
      <c r="A20">
        <v>19</v>
      </c>
      <c r="B20">
        <v>110</v>
      </c>
      <c r="C20" s="16" t="s">
        <v>95</v>
      </c>
      <c r="D20" t="s">
        <v>96</v>
      </c>
      <c r="E20">
        <v>8</v>
      </c>
      <c r="F20">
        <v>8</v>
      </c>
      <c r="G20">
        <f>E20+F20</f>
        <v>16</v>
      </c>
    </row>
    <row r="21" spans="1:7" x14ac:dyDescent="0.25">
      <c r="A21">
        <v>20</v>
      </c>
      <c r="C21" s="21" t="s">
        <v>88</v>
      </c>
    </row>
    <row r="22" spans="1:7" x14ac:dyDescent="0.25">
      <c r="A22">
        <v>21</v>
      </c>
      <c r="B22">
        <v>160</v>
      </c>
      <c r="C22" s="17" t="s">
        <v>94</v>
      </c>
      <c r="D22" t="s">
        <v>98</v>
      </c>
      <c r="E22">
        <v>4</v>
      </c>
      <c r="F22">
        <v>6</v>
      </c>
      <c r="G22">
        <f>E22+F22</f>
        <v>10</v>
      </c>
    </row>
    <row r="23" spans="1:7" x14ac:dyDescent="0.25">
      <c r="A23">
        <v>22</v>
      </c>
      <c r="B23">
        <v>105</v>
      </c>
      <c r="C23" s="17" t="s">
        <v>97</v>
      </c>
      <c r="D23" t="s">
        <v>101</v>
      </c>
      <c r="E23">
        <v>4</v>
      </c>
      <c r="F23">
        <v>6</v>
      </c>
      <c r="G23">
        <f>E23+F23</f>
        <v>10</v>
      </c>
    </row>
    <row r="24" spans="1:7" x14ac:dyDescent="0.25">
      <c r="A24">
        <v>23</v>
      </c>
      <c r="B24">
        <v>170</v>
      </c>
      <c r="C24" s="17" t="s">
        <v>60</v>
      </c>
      <c r="D24" t="s">
        <v>102</v>
      </c>
      <c r="E24">
        <v>4</v>
      </c>
      <c r="F24">
        <v>6</v>
      </c>
      <c r="G24">
        <f>E24+F24</f>
        <v>10</v>
      </c>
    </row>
    <row r="25" spans="1:7" x14ac:dyDescent="0.25">
      <c r="A25">
        <v>24</v>
      </c>
      <c r="B25">
        <v>65</v>
      </c>
      <c r="C25" s="17" t="s">
        <v>63</v>
      </c>
      <c r="D25" t="s">
        <v>65</v>
      </c>
      <c r="E25">
        <v>2</v>
      </c>
      <c r="F25">
        <v>6</v>
      </c>
      <c r="G25">
        <f>E25+F25</f>
        <v>8</v>
      </c>
    </row>
    <row r="26" spans="1:7" x14ac:dyDescent="0.25">
      <c r="A26">
        <v>25</v>
      </c>
    </row>
    <row r="27" spans="1:7" x14ac:dyDescent="0.25">
      <c r="A27">
        <v>26</v>
      </c>
      <c r="C27" t="s">
        <v>110</v>
      </c>
      <c r="E27">
        <f>SUM(E3:E25)</f>
        <v>96</v>
      </c>
      <c r="F27">
        <f>SUM(F3:F25)</f>
        <v>116</v>
      </c>
      <c r="G27">
        <f>E27+F27</f>
        <v>212</v>
      </c>
    </row>
    <row r="28" spans="1:7" x14ac:dyDescent="0.25">
      <c r="A28">
        <v>27</v>
      </c>
      <c r="C28" t="s">
        <v>111</v>
      </c>
      <c r="E28">
        <f>E27/2</f>
        <v>48</v>
      </c>
      <c r="F28">
        <f>F27/2</f>
        <v>58</v>
      </c>
      <c r="G28">
        <f>E28+F28</f>
        <v>106</v>
      </c>
    </row>
  </sheetData>
  <autoFilter ref="A1:G28" xr:uid="{47A4D79A-FB13-4A11-B625-9CB7BFC6BBEB}">
    <sortState xmlns:xlrd2="http://schemas.microsoft.com/office/spreadsheetml/2017/richdata2" ref="A2:G28">
      <sortCondition ref="A1:A28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7EAD-C812-4E6E-8F67-BDDA4D432BAA}">
  <dimension ref="B1:P53"/>
  <sheetViews>
    <sheetView topLeftCell="A3" zoomScale="110" zoomScaleNormal="110" zoomScaleSheetLayoutView="70" workbookViewId="0">
      <selection activeCell="V48" sqref="V48"/>
    </sheetView>
  </sheetViews>
  <sheetFormatPr defaultRowHeight="15.75" outlineLevelRow="1" x14ac:dyDescent="0.25"/>
  <cols>
    <col min="2" max="2" width="22.28515625" style="1" bestFit="1" customWidth="1"/>
    <col min="3" max="3" width="4.42578125" style="2" customWidth="1"/>
  </cols>
  <sheetData>
    <row r="1" spans="2:16" x14ac:dyDescent="0.25">
      <c r="D1" t="s">
        <v>113</v>
      </c>
      <c r="H1" t="s">
        <v>114</v>
      </c>
      <c r="M1" t="s">
        <v>130</v>
      </c>
    </row>
    <row r="2" spans="2:16" x14ac:dyDescent="0.25">
      <c r="B2" s="22"/>
      <c r="C2" s="23" t="s">
        <v>117</v>
      </c>
      <c r="D2" s="3" t="s">
        <v>131</v>
      </c>
      <c r="E2" s="3" t="s">
        <v>133</v>
      </c>
      <c r="F2" s="3" t="s">
        <v>134</v>
      </c>
      <c r="G2" s="3" t="s">
        <v>135</v>
      </c>
      <c r="H2" s="3" t="s">
        <v>131</v>
      </c>
      <c r="I2" s="3" t="s">
        <v>133</v>
      </c>
      <c r="J2" s="3" t="s">
        <v>134</v>
      </c>
      <c r="K2" s="3" t="s">
        <v>135</v>
      </c>
      <c r="L2" s="3" t="s">
        <v>136</v>
      </c>
      <c r="M2" s="3" t="s">
        <v>131</v>
      </c>
      <c r="N2" s="3" t="s">
        <v>132</v>
      </c>
      <c r="O2" s="3" t="s">
        <v>134</v>
      </c>
      <c r="P2" s="3" t="s">
        <v>135</v>
      </c>
    </row>
    <row r="3" spans="2:16" ht="26.1" customHeight="1" x14ac:dyDescent="0.25">
      <c r="B3" s="24" t="s">
        <v>116</v>
      </c>
      <c r="C3" s="23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26.1" customHeight="1" x14ac:dyDescent="0.25">
      <c r="B4" s="25" t="s">
        <v>58</v>
      </c>
      <c r="C4" s="23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ht="26.1" hidden="1" customHeight="1" outlineLevel="1" x14ac:dyDescent="0.25">
      <c r="B5" s="25" t="s">
        <v>120</v>
      </c>
      <c r="C5" s="23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2:16" ht="26.1" hidden="1" customHeight="1" outlineLevel="1" x14ac:dyDescent="0.25">
      <c r="B6" s="25" t="s">
        <v>115</v>
      </c>
      <c r="C6" s="2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2:16" ht="26.1" hidden="1" customHeight="1" outlineLevel="1" x14ac:dyDescent="0.25">
      <c r="B7" s="25" t="s">
        <v>137</v>
      </c>
      <c r="C7" s="2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2:16" ht="26.1" hidden="1" customHeight="1" outlineLevel="1" x14ac:dyDescent="0.25">
      <c r="B8" s="25" t="s">
        <v>138</v>
      </c>
      <c r="C8" s="2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2:16" ht="26.1" hidden="1" customHeight="1" outlineLevel="1" x14ac:dyDescent="0.25">
      <c r="B9" s="25" t="s">
        <v>139</v>
      </c>
      <c r="C9" s="2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2:16" ht="26.1" customHeight="1" collapsed="1" x14ac:dyDescent="0.25">
      <c r="B10" s="26" t="s">
        <v>62</v>
      </c>
      <c r="C10" s="23">
        <v>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2:16" ht="26.1" hidden="1" customHeight="1" outlineLevel="1" x14ac:dyDescent="0.25">
      <c r="B11" s="26" t="s">
        <v>118</v>
      </c>
      <c r="C11" s="23">
        <v>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2:16" ht="26.1" hidden="1" customHeight="1" outlineLevel="1" x14ac:dyDescent="0.25">
      <c r="B12" s="26" t="s">
        <v>119</v>
      </c>
      <c r="C12" s="23">
        <v>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2:16" ht="26.1" hidden="1" customHeight="1" outlineLevel="1" x14ac:dyDescent="0.25">
      <c r="B13" s="26" t="s">
        <v>121</v>
      </c>
      <c r="C13" s="23">
        <v>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2:16" ht="26.1" hidden="1" customHeight="1" outlineLevel="1" x14ac:dyDescent="0.25">
      <c r="B14" s="26" t="s">
        <v>36</v>
      </c>
      <c r="C14" s="23">
        <v>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2:16" ht="26.1" customHeight="1" collapsed="1" x14ac:dyDescent="0.25">
      <c r="B15" s="26" t="s">
        <v>64</v>
      </c>
      <c r="C15" s="23">
        <v>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2:16" ht="26.1" hidden="1" customHeight="1" outlineLevel="1" x14ac:dyDescent="0.25">
      <c r="B16" s="26" t="s">
        <v>123</v>
      </c>
      <c r="C16" s="23">
        <v>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2:16" ht="26.1" hidden="1" customHeight="1" outlineLevel="1" x14ac:dyDescent="0.25">
      <c r="B17" s="26" t="s">
        <v>122</v>
      </c>
      <c r="C17" s="23">
        <v>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2:16" ht="26.1" hidden="1" customHeight="1" outlineLevel="1" x14ac:dyDescent="0.25">
      <c r="B18" s="26" t="s">
        <v>124</v>
      </c>
      <c r="C18" s="23">
        <v>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2:16" ht="26.1" hidden="1" customHeight="1" outlineLevel="1" x14ac:dyDescent="0.25">
      <c r="B19" s="26" t="s">
        <v>119</v>
      </c>
      <c r="C19" s="23">
        <v>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2:16" ht="26.1" customHeight="1" collapsed="1" x14ac:dyDescent="0.25">
      <c r="B20" s="26" t="s">
        <v>84</v>
      </c>
      <c r="C20" s="23">
        <v>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2:16" ht="26.1" hidden="1" customHeight="1" outlineLevel="1" x14ac:dyDescent="0.25">
      <c r="B21" s="26" t="s">
        <v>125</v>
      </c>
      <c r="C21" s="23">
        <v>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2:16" ht="26.1" hidden="1" customHeight="1" outlineLevel="1" x14ac:dyDescent="0.25">
      <c r="B22" s="26" t="s">
        <v>119</v>
      </c>
      <c r="C22" s="23">
        <v>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2:16" ht="26.1" customHeight="1" collapsed="1" x14ac:dyDescent="0.25">
      <c r="B23" s="27" t="s">
        <v>62</v>
      </c>
      <c r="C23" s="23">
        <v>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2:16" ht="26.1" hidden="1" customHeight="1" outlineLevel="1" x14ac:dyDescent="0.25">
      <c r="B24" s="27" t="s">
        <v>126</v>
      </c>
      <c r="C24" s="23">
        <v>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2:16" ht="26.1" hidden="1" customHeight="1" outlineLevel="1" x14ac:dyDescent="0.25">
      <c r="B25" s="27" t="s">
        <v>119</v>
      </c>
      <c r="C25" s="23">
        <v>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2:16" ht="26.1" customHeight="1" collapsed="1" x14ac:dyDescent="0.25">
      <c r="B26" s="28" t="s">
        <v>63</v>
      </c>
      <c r="C26" s="23">
        <v>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6" ht="26.1" hidden="1" customHeight="1" outlineLevel="1" x14ac:dyDescent="0.25">
      <c r="B27" s="28" t="s">
        <v>127</v>
      </c>
      <c r="C27" s="23">
        <v>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2:16" ht="26.1" hidden="1" customHeight="1" outlineLevel="1" x14ac:dyDescent="0.25">
      <c r="B28" s="28" t="s">
        <v>119</v>
      </c>
      <c r="C28" s="23">
        <v>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2:16" ht="26.1" customHeight="1" collapsed="1" x14ac:dyDescent="0.25">
      <c r="B29" s="27" t="s">
        <v>86</v>
      </c>
      <c r="C29" s="23">
        <v>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2:16" ht="26.1" hidden="1" customHeight="1" outlineLevel="1" x14ac:dyDescent="0.25">
      <c r="B30" s="27" t="s">
        <v>128</v>
      </c>
      <c r="C30" s="23">
        <v>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2:16" ht="26.1" hidden="1" customHeight="1" outlineLevel="1" x14ac:dyDescent="0.25">
      <c r="B31" s="27" t="s">
        <v>129</v>
      </c>
      <c r="C31" s="23">
        <v>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2:16" ht="26.1" hidden="1" customHeight="1" outlineLevel="1" x14ac:dyDescent="0.25">
      <c r="B32" s="27" t="s">
        <v>140</v>
      </c>
      <c r="C32" s="2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2:16" ht="26.1" hidden="1" customHeight="1" outlineLevel="1" x14ac:dyDescent="0.25">
      <c r="B33" s="27" t="s">
        <v>141</v>
      </c>
      <c r="C33" s="2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2:16" ht="26.1" customHeight="1" collapsed="1" x14ac:dyDescent="0.25">
      <c r="B34" s="25" t="s">
        <v>93</v>
      </c>
      <c r="C34" s="23">
        <v>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2:16" ht="26.1" hidden="1" customHeight="1" outlineLevel="1" x14ac:dyDescent="0.25">
      <c r="B35" s="25" t="s">
        <v>142</v>
      </c>
      <c r="C35" s="23">
        <v>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2:16" ht="26.1" hidden="1" customHeight="1" outlineLevel="1" x14ac:dyDescent="0.25">
      <c r="B36" s="25" t="s">
        <v>143</v>
      </c>
      <c r="C36" s="23">
        <v>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2:16" ht="26.1" hidden="1" customHeight="1" outlineLevel="1" x14ac:dyDescent="0.25">
      <c r="B37" s="25" t="s">
        <v>144</v>
      </c>
      <c r="C37" s="23">
        <v>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2:16" ht="26.1" customHeight="1" collapsed="1" x14ac:dyDescent="0.25">
      <c r="B38" s="27" t="s">
        <v>83</v>
      </c>
      <c r="C38" s="23">
        <v>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2:16" ht="26.1" hidden="1" customHeight="1" outlineLevel="1" x14ac:dyDescent="0.25">
      <c r="B39" s="27" t="s">
        <v>145</v>
      </c>
      <c r="C39" s="2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ht="26.1" hidden="1" customHeight="1" outlineLevel="1" x14ac:dyDescent="0.25">
      <c r="B40" s="27" t="s">
        <v>119</v>
      </c>
      <c r="C40" s="2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ht="26.1" hidden="1" customHeight="1" outlineLevel="1" x14ac:dyDescent="0.25">
      <c r="B41" s="27" t="s">
        <v>146</v>
      </c>
      <c r="C41" s="2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2:16" ht="26.1" hidden="1" customHeight="1" outlineLevel="1" x14ac:dyDescent="0.25">
      <c r="B42" s="27" t="s">
        <v>147</v>
      </c>
      <c r="C42" s="2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2:16" ht="26.1" customHeight="1" collapsed="1" x14ac:dyDescent="0.25">
      <c r="B43" s="26" t="s">
        <v>91</v>
      </c>
      <c r="C43" s="23">
        <v>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2:16" ht="26.1" customHeight="1" x14ac:dyDescent="0.25">
      <c r="B44" s="28" t="s">
        <v>97</v>
      </c>
      <c r="C44" s="23">
        <v>4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2:16" ht="26.1" customHeight="1" x14ac:dyDescent="0.25">
      <c r="B45" s="27" t="s">
        <v>95</v>
      </c>
      <c r="C45" s="23">
        <v>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2:16" ht="26.1" customHeight="1" x14ac:dyDescent="0.25">
      <c r="B46" s="25" t="s">
        <v>99</v>
      </c>
      <c r="C46" s="23">
        <v>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2:16" ht="26.1" customHeight="1" x14ac:dyDescent="0.25">
      <c r="B47" s="25" t="s">
        <v>78</v>
      </c>
      <c r="C47" s="23">
        <v>6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2:16" ht="26.1" customHeight="1" x14ac:dyDescent="0.25">
      <c r="B48" s="25" t="s">
        <v>75</v>
      </c>
      <c r="C48" s="23">
        <v>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2:16" ht="26.1" customHeight="1" x14ac:dyDescent="0.25">
      <c r="B49" s="25" t="s">
        <v>79</v>
      </c>
      <c r="C49" s="23">
        <v>8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2:16" ht="26.1" customHeight="1" x14ac:dyDescent="0.25">
      <c r="B50" s="26" t="s">
        <v>89</v>
      </c>
      <c r="C50" s="23">
        <v>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2:16" ht="26.1" customHeight="1" x14ac:dyDescent="0.25">
      <c r="B51" s="28" t="s">
        <v>94</v>
      </c>
      <c r="C51" s="23">
        <v>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2:16" ht="26.1" customHeight="1" x14ac:dyDescent="0.25">
      <c r="B52" s="28" t="s">
        <v>60</v>
      </c>
      <c r="C52" s="23">
        <v>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2:16" ht="26.1" customHeight="1" x14ac:dyDescent="0.25">
      <c r="B53" s="25" t="s">
        <v>57</v>
      </c>
      <c r="C53" s="23">
        <v>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</sheetData>
  <phoneticPr fontId="1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9EEF-6F45-4A25-8EC4-EA62A83D2DB6}">
  <dimension ref="B1:P55"/>
  <sheetViews>
    <sheetView tabSelected="1" topLeftCell="A10" zoomScale="145" zoomScaleNormal="145" zoomScaleSheetLayoutView="70" workbookViewId="0">
      <selection activeCell="N45" sqref="N45"/>
    </sheetView>
  </sheetViews>
  <sheetFormatPr defaultRowHeight="15.75" outlineLevelRow="1" x14ac:dyDescent="0.25"/>
  <cols>
    <col min="2" max="2" width="22.28515625" style="1" bestFit="1" customWidth="1"/>
    <col min="3" max="3" width="4.42578125" style="2" customWidth="1"/>
  </cols>
  <sheetData>
    <row r="1" spans="2:16" x14ac:dyDescent="0.25">
      <c r="D1" t="s">
        <v>113</v>
      </c>
      <c r="H1" t="s">
        <v>114</v>
      </c>
      <c r="M1" t="s">
        <v>130</v>
      </c>
    </row>
    <row r="2" spans="2:16" x14ac:dyDescent="0.25">
      <c r="B2" s="22"/>
      <c r="C2" s="23" t="s">
        <v>117</v>
      </c>
      <c r="D2" s="3" t="s">
        <v>131</v>
      </c>
      <c r="E2" s="3" t="s">
        <v>133</v>
      </c>
      <c r="F2" s="3" t="s">
        <v>134</v>
      </c>
      <c r="G2" s="3" t="s">
        <v>135</v>
      </c>
      <c r="H2" s="3" t="s">
        <v>131</v>
      </c>
      <c r="I2" s="3" t="s">
        <v>133</v>
      </c>
      <c r="J2" s="3" t="s">
        <v>134</v>
      </c>
      <c r="K2" s="3" t="s">
        <v>135</v>
      </c>
      <c r="L2" s="3" t="s">
        <v>136</v>
      </c>
      <c r="M2" s="3" t="s">
        <v>131</v>
      </c>
      <c r="N2" s="3" t="s">
        <v>132</v>
      </c>
      <c r="O2" s="3" t="s">
        <v>134</v>
      </c>
      <c r="P2" s="3" t="s">
        <v>135</v>
      </c>
    </row>
    <row r="3" spans="2:16" ht="26.1" customHeight="1" x14ac:dyDescent="0.25">
      <c r="B3" s="24" t="s">
        <v>116</v>
      </c>
      <c r="C3" s="23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26.1" customHeight="1" x14ac:dyDescent="0.25">
      <c r="B4" s="25" t="s">
        <v>58</v>
      </c>
      <c r="C4" s="23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ht="26.1" hidden="1" customHeight="1" outlineLevel="1" x14ac:dyDescent="0.25">
      <c r="B5" s="25" t="s">
        <v>120</v>
      </c>
      <c r="C5" s="23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2:16" ht="26.1" hidden="1" customHeight="1" outlineLevel="1" x14ac:dyDescent="0.25">
      <c r="B6" s="25" t="s">
        <v>115</v>
      </c>
      <c r="C6" s="2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2:16" ht="26.1" hidden="1" customHeight="1" outlineLevel="1" x14ac:dyDescent="0.25">
      <c r="B7" s="25" t="s">
        <v>137</v>
      </c>
      <c r="C7" s="2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2:16" ht="26.1" hidden="1" customHeight="1" outlineLevel="1" x14ac:dyDescent="0.25">
      <c r="B8" s="25" t="s">
        <v>138</v>
      </c>
      <c r="C8" s="2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2:16" ht="26.1" hidden="1" customHeight="1" outlineLevel="1" x14ac:dyDescent="0.25">
      <c r="B9" s="25" t="s">
        <v>139</v>
      </c>
      <c r="C9" s="2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2:16" ht="26.1" customHeight="1" collapsed="1" x14ac:dyDescent="0.25">
      <c r="B10" s="26" t="s">
        <v>62</v>
      </c>
      <c r="C10" s="23">
        <v>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2:16" ht="26.1" hidden="1" customHeight="1" outlineLevel="1" x14ac:dyDescent="0.25">
      <c r="B11" s="26" t="s">
        <v>118</v>
      </c>
      <c r="C11" s="23">
        <v>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2:16" ht="26.1" hidden="1" customHeight="1" outlineLevel="1" x14ac:dyDescent="0.25">
      <c r="B12" s="26" t="s">
        <v>119</v>
      </c>
      <c r="C12" s="23">
        <v>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2:16" ht="26.1" hidden="1" customHeight="1" outlineLevel="1" x14ac:dyDescent="0.25">
      <c r="B13" s="26" t="s">
        <v>121</v>
      </c>
      <c r="C13" s="23">
        <v>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2:16" ht="26.1" hidden="1" customHeight="1" outlineLevel="1" x14ac:dyDescent="0.25">
      <c r="B14" s="26" t="s">
        <v>36</v>
      </c>
      <c r="C14" s="23">
        <v>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2:16" ht="26.1" customHeight="1" collapsed="1" x14ac:dyDescent="0.25">
      <c r="B15" s="26" t="s">
        <v>64</v>
      </c>
      <c r="C15" s="23">
        <v>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2:16" ht="26.1" hidden="1" customHeight="1" outlineLevel="1" x14ac:dyDescent="0.25">
      <c r="B16" s="26" t="s">
        <v>123</v>
      </c>
      <c r="C16" s="23">
        <v>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2:16" ht="26.1" hidden="1" customHeight="1" outlineLevel="1" x14ac:dyDescent="0.25">
      <c r="B17" s="26" t="s">
        <v>122</v>
      </c>
      <c r="C17" s="23">
        <v>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2:16" ht="26.1" hidden="1" customHeight="1" outlineLevel="1" x14ac:dyDescent="0.25">
      <c r="B18" s="26" t="s">
        <v>124</v>
      </c>
      <c r="C18" s="23">
        <v>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2:16" ht="26.1" hidden="1" customHeight="1" outlineLevel="1" x14ac:dyDescent="0.25">
      <c r="B19" s="26" t="s">
        <v>119</v>
      </c>
      <c r="C19" s="23">
        <v>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2:16" ht="26.1" customHeight="1" collapsed="1" x14ac:dyDescent="0.25">
      <c r="B20" s="26" t="s">
        <v>84</v>
      </c>
      <c r="C20" s="23">
        <v>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2:16" ht="26.1" hidden="1" customHeight="1" outlineLevel="1" x14ac:dyDescent="0.25">
      <c r="B21" s="26" t="s">
        <v>125</v>
      </c>
      <c r="C21" s="23">
        <v>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2:16" ht="26.1" hidden="1" customHeight="1" outlineLevel="1" x14ac:dyDescent="0.25">
      <c r="B22" s="26" t="s">
        <v>119</v>
      </c>
      <c r="C22" s="23">
        <v>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2:16" ht="26.1" customHeight="1" collapsed="1" x14ac:dyDescent="0.25">
      <c r="B23" s="27" t="s">
        <v>62</v>
      </c>
      <c r="C23" s="23">
        <v>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2:16" ht="26.1" hidden="1" customHeight="1" outlineLevel="1" x14ac:dyDescent="0.25">
      <c r="B24" s="27" t="s">
        <v>126</v>
      </c>
      <c r="C24" s="23">
        <v>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2:16" ht="26.1" hidden="1" customHeight="1" outlineLevel="1" x14ac:dyDescent="0.25">
      <c r="B25" s="27" t="s">
        <v>119</v>
      </c>
      <c r="C25" s="23">
        <v>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2:16" ht="26.1" customHeight="1" collapsed="1" x14ac:dyDescent="0.25">
      <c r="B26" s="28" t="s">
        <v>63</v>
      </c>
      <c r="C26" s="23">
        <v>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6" ht="26.1" hidden="1" customHeight="1" outlineLevel="1" x14ac:dyDescent="0.25">
      <c r="B27" s="28" t="s">
        <v>127</v>
      </c>
      <c r="C27" s="23">
        <v>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2:16" ht="26.1" hidden="1" customHeight="1" outlineLevel="1" x14ac:dyDescent="0.25">
      <c r="B28" s="28" t="s">
        <v>119</v>
      </c>
      <c r="C28" s="23">
        <v>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2:16" ht="26.1" customHeight="1" collapsed="1" x14ac:dyDescent="0.25">
      <c r="B29" s="27" t="s">
        <v>86</v>
      </c>
      <c r="C29" s="23">
        <v>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2:16" ht="26.1" hidden="1" customHeight="1" outlineLevel="1" x14ac:dyDescent="0.25">
      <c r="B30" s="27" t="s">
        <v>128</v>
      </c>
      <c r="C30" s="23">
        <v>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2:16" ht="26.1" hidden="1" customHeight="1" outlineLevel="1" x14ac:dyDescent="0.25">
      <c r="B31" s="27" t="s">
        <v>129</v>
      </c>
      <c r="C31" s="23">
        <v>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2:16" ht="26.1" hidden="1" customHeight="1" outlineLevel="1" x14ac:dyDescent="0.25">
      <c r="B32" s="27" t="s">
        <v>140</v>
      </c>
      <c r="C32" s="2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2:16" ht="26.1" hidden="1" customHeight="1" outlineLevel="1" x14ac:dyDescent="0.25">
      <c r="B33" s="27" t="s">
        <v>141</v>
      </c>
      <c r="C33" s="2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2:16" ht="26.1" customHeight="1" collapsed="1" x14ac:dyDescent="0.25">
      <c r="B34" s="25" t="s">
        <v>93</v>
      </c>
      <c r="C34" s="23">
        <v>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2:16" ht="26.1" hidden="1" customHeight="1" outlineLevel="1" x14ac:dyDescent="0.25">
      <c r="B35" s="25" t="s">
        <v>142</v>
      </c>
      <c r="C35" s="23">
        <v>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2:16" ht="26.1" hidden="1" customHeight="1" outlineLevel="1" x14ac:dyDescent="0.25">
      <c r="B36" s="25" t="s">
        <v>143</v>
      </c>
      <c r="C36" s="23">
        <v>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2:16" ht="26.1" hidden="1" customHeight="1" outlineLevel="1" x14ac:dyDescent="0.25">
      <c r="B37" s="25" t="s">
        <v>144</v>
      </c>
      <c r="C37" s="23">
        <v>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2:16" ht="26.1" customHeight="1" collapsed="1" x14ac:dyDescent="0.25">
      <c r="B38" s="27" t="s">
        <v>83</v>
      </c>
      <c r="C38" s="23">
        <v>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2:16" ht="26.1" hidden="1" customHeight="1" outlineLevel="1" x14ac:dyDescent="0.25">
      <c r="B39" s="27" t="s">
        <v>145</v>
      </c>
      <c r="C39" s="2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ht="26.1" hidden="1" customHeight="1" outlineLevel="1" x14ac:dyDescent="0.25">
      <c r="B40" s="27" t="s">
        <v>119</v>
      </c>
      <c r="C40" s="2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ht="26.1" hidden="1" customHeight="1" outlineLevel="1" x14ac:dyDescent="0.25">
      <c r="B41" s="27" t="s">
        <v>146</v>
      </c>
      <c r="C41" s="2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2:16" ht="26.1" hidden="1" customHeight="1" outlineLevel="1" x14ac:dyDescent="0.25">
      <c r="B42" s="27" t="s">
        <v>147</v>
      </c>
      <c r="C42" s="2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2:16" ht="26.1" customHeight="1" outlineLevel="1" x14ac:dyDescent="0.25">
      <c r="B43" s="24" t="s">
        <v>216</v>
      </c>
      <c r="C43" s="23">
        <v>24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2:16" ht="26.1" customHeight="1" x14ac:dyDescent="0.25">
      <c r="B44" s="26" t="s">
        <v>148</v>
      </c>
      <c r="C44" s="23">
        <v>8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2:16" ht="26.1" customHeight="1" x14ac:dyDescent="0.25">
      <c r="B45" s="25" t="s">
        <v>217</v>
      </c>
      <c r="C45" s="23">
        <v>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2:16" ht="26.1" customHeight="1" x14ac:dyDescent="0.25">
      <c r="B46" s="26" t="s">
        <v>91</v>
      </c>
      <c r="C46" s="23">
        <v>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2:16" ht="26.1" customHeight="1" x14ac:dyDescent="0.25">
      <c r="B47" s="28" t="s">
        <v>97</v>
      </c>
      <c r="C47" s="23">
        <v>6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2:16" ht="26.1" customHeight="1" x14ac:dyDescent="0.25">
      <c r="B48" s="24" t="s">
        <v>91</v>
      </c>
      <c r="C48" s="29">
        <v>4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</row>
    <row r="49" spans="2:16" ht="26.1" customHeight="1" x14ac:dyDescent="0.25">
      <c r="B49" s="24" t="s">
        <v>78</v>
      </c>
      <c r="C49" s="29">
        <v>6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</row>
    <row r="50" spans="2:16" ht="26.1" customHeight="1" x14ac:dyDescent="0.25">
      <c r="B50" s="24" t="s">
        <v>75</v>
      </c>
      <c r="C50" s="29">
        <v>4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</row>
    <row r="51" spans="2:16" ht="26.1" customHeight="1" x14ac:dyDescent="0.25">
      <c r="B51" s="24" t="s">
        <v>79</v>
      </c>
      <c r="C51" s="29">
        <v>8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</row>
    <row r="52" spans="2:16" ht="26.1" customHeight="1" x14ac:dyDescent="0.25">
      <c r="B52" s="24" t="s">
        <v>89</v>
      </c>
      <c r="C52" s="29">
        <v>8</v>
      </c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</row>
    <row r="53" spans="2:16" ht="26.1" customHeight="1" x14ac:dyDescent="0.25">
      <c r="B53" s="24" t="s">
        <v>94</v>
      </c>
      <c r="C53" s="29">
        <v>4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</row>
    <row r="54" spans="2:16" ht="26.1" customHeight="1" x14ac:dyDescent="0.25">
      <c r="B54" s="24" t="s">
        <v>60</v>
      </c>
      <c r="C54" s="29">
        <v>4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</row>
    <row r="55" spans="2:16" ht="26.1" customHeight="1" x14ac:dyDescent="0.25">
      <c r="B55" s="24" t="s">
        <v>57</v>
      </c>
      <c r="C55" s="29">
        <v>2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</row>
  </sheetData>
  <phoneticPr fontId="1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F1F6-7438-4CFA-A62A-2A59DDB80011}">
  <dimension ref="C2:M40"/>
  <sheetViews>
    <sheetView topLeftCell="A3" workbookViewId="0">
      <selection activeCell="L31" sqref="L31"/>
    </sheetView>
  </sheetViews>
  <sheetFormatPr defaultRowHeight="15.75" x14ac:dyDescent="0.25"/>
  <cols>
    <col min="3" max="3" width="19" bestFit="1" customWidth="1"/>
    <col min="4" max="4" width="12.7109375" bestFit="1" customWidth="1"/>
    <col min="5" max="5" width="18.42578125" customWidth="1"/>
    <col min="6" max="6" width="20" bestFit="1" customWidth="1"/>
    <col min="7" max="7" width="29.140625" hidden="1" customWidth="1"/>
    <col min="8" max="8" width="32.28515625" hidden="1" customWidth="1"/>
    <col min="9" max="9" width="21.28515625" customWidth="1"/>
    <col min="10" max="11" width="115.5703125" hidden="1" customWidth="1"/>
    <col min="12" max="12" width="20" bestFit="1" customWidth="1"/>
    <col min="13" max="14" width="0" hidden="1" customWidth="1"/>
  </cols>
  <sheetData>
    <row r="2" spans="3:9" ht="16.5" thickBot="1" x14ac:dyDescent="0.3"/>
    <row r="3" spans="3:9" x14ac:dyDescent="0.25">
      <c r="C3" s="31" t="s">
        <v>149</v>
      </c>
      <c r="D3" s="32"/>
      <c r="E3" s="32"/>
      <c r="F3" s="32"/>
      <c r="G3" s="32" t="s">
        <v>157</v>
      </c>
      <c r="H3" s="32" t="s">
        <v>156</v>
      </c>
      <c r="I3" s="33"/>
    </row>
    <row r="4" spans="3:9" x14ac:dyDescent="0.25">
      <c r="C4" s="34" t="s">
        <v>150</v>
      </c>
      <c r="D4" t="s">
        <v>151</v>
      </c>
      <c r="E4" t="s">
        <v>152</v>
      </c>
      <c r="G4" t="s">
        <v>153</v>
      </c>
      <c r="I4" s="35"/>
    </row>
    <row r="5" spans="3:9" x14ac:dyDescent="0.25">
      <c r="C5" s="34"/>
      <c r="E5" t="s">
        <v>154</v>
      </c>
      <c r="I5" s="35"/>
    </row>
    <row r="6" spans="3:9" x14ac:dyDescent="0.25">
      <c r="C6" s="34"/>
      <c r="E6" t="s">
        <v>155</v>
      </c>
      <c r="I6" s="35"/>
    </row>
    <row r="7" spans="3:9" x14ac:dyDescent="0.25">
      <c r="C7" s="34"/>
      <c r="E7" t="s">
        <v>159</v>
      </c>
      <c r="G7" t="s">
        <v>158</v>
      </c>
      <c r="I7" s="35"/>
    </row>
    <row r="8" spans="3:9" x14ac:dyDescent="0.25">
      <c r="C8" s="34"/>
      <c r="E8" t="s">
        <v>161</v>
      </c>
      <c r="G8" t="s">
        <v>160</v>
      </c>
      <c r="I8" s="35"/>
    </row>
    <row r="9" spans="3:9" x14ac:dyDescent="0.25">
      <c r="C9" s="34"/>
      <c r="E9" t="s">
        <v>162</v>
      </c>
      <c r="H9" t="s">
        <v>163</v>
      </c>
      <c r="I9" s="35"/>
    </row>
    <row r="10" spans="3:9" x14ac:dyDescent="0.25">
      <c r="C10" s="34"/>
      <c r="D10" t="s">
        <v>164</v>
      </c>
      <c r="E10" t="s">
        <v>165</v>
      </c>
      <c r="F10" t="s">
        <v>166</v>
      </c>
      <c r="I10" s="35" t="s">
        <v>175</v>
      </c>
    </row>
    <row r="11" spans="3:9" x14ac:dyDescent="0.25">
      <c r="C11" s="34"/>
      <c r="F11" t="s">
        <v>167</v>
      </c>
      <c r="I11" s="35" t="s">
        <v>175</v>
      </c>
    </row>
    <row r="12" spans="3:9" x14ac:dyDescent="0.25">
      <c r="C12" s="34"/>
      <c r="F12" t="s">
        <v>173</v>
      </c>
      <c r="I12" s="35" t="s">
        <v>175</v>
      </c>
    </row>
    <row r="13" spans="3:9" x14ac:dyDescent="0.25">
      <c r="C13" s="34"/>
      <c r="F13" t="s">
        <v>174</v>
      </c>
      <c r="I13" s="35" t="s">
        <v>175</v>
      </c>
    </row>
    <row r="14" spans="3:9" x14ac:dyDescent="0.25">
      <c r="C14" s="34"/>
      <c r="F14" t="s">
        <v>168</v>
      </c>
      <c r="I14" s="35" t="s">
        <v>171</v>
      </c>
    </row>
    <row r="15" spans="3:9" x14ac:dyDescent="0.25">
      <c r="C15" s="34"/>
      <c r="F15" t="s">
        <v>169</v>
      </c>
      <c r="I15" s="35" t="s">
        <v>170</v>
      </c>
    </row>
    <row r="16" spans="3:9" x14ac:dyDescent="0.25">
      <c r="C16" s="34"/>
      <c r="F16" t="s">
        <v>172</v>
      </c>
      <c r="I16" s="35"/>
    </row>
    <row r="17" spans="3:13" x14ac:dyDescent="0.25">
      <c r="C17" s="34"/>
      <c r="E17" t="s">
        <v>176</v>
      </c>
      <c r="F17" t="s">
        <v>177</v>
      </c>
      <c r="I17" s="35" t="s">
        <v>181</v>
      </c>
    </row>
    <row r="18" spans="3:13" x14ac:dyDescent="0.25">
      <c r="C18" s="34"/>
      <c r="F18" t="s">
        <v>178</v>
      </c>
      <c r="I18" s="35" t="s">
        <v>181</v>
      </c>
    </row>
    <row r="19" spans="3:13" x14ac:dyDescent="0.25">
      <c r="C19" s="34"/>
      <c r="F19" t="s">
        <v>179</v>
      </c>
      <c r="I19" s="35" t="s">
        <v>181</v>
      </c>
    </row>
    <row r="20" spans="3:13" x14ac:dyDescent="0.25">
      <c r="C20" s="34"/>
      <c r="F20" t="s">
        <v>180</v>
      </c>
      <c r="I20" s="35" t="s">
        <v>181</v>
      </c>
    </row>
    <row r="21" spans="3:13" x14ac:dyDescent="0.25">
      <c r="C21" s="34"/>
      <c r="E21" t="s">
        <v>182</v>
      </c>
      <c r="F21" t="s">
        <v>184</v>
      </c>
      <c r="I21" s="35"/>
    </row>
    <row r="22" spans="3:13" x14ac:dyDescent="0.25">
      <c r="C22" s="34"/>
      <c r="F22" t="s">
        <v>185</v>
      </c>
      <c r="H22" t="s">
        <v>183</v>
      </c>
      <c r="I22" s="35"/>
    </row>
    <row r="23" spans="3:13" x14ac:dyDescent="0.25">
      <c r="C23" s="34"/>
      <c r="F23" t="s">
        <v>209</v>
      </c>
      <c r="I23" s="35"/>
    </row>
    <row r="24" spans="3:13" x14ac:dyDescent="0.25">
      <c r="C24" s="34"/>
      <c r="E24" t="s">
        <v>187</v>
      </c>
      <c r="G24" t="s">
        <v>186</v>
      </c>
      <c r="H24" t="s">
        <v>186</v>
      </c>
      <c r="I24" s="35"/>
    </row>
    <row r="25" spans="3:13" x14ac:dyDescent="0.25">
      <c r="C25" s="34"/>
      <c r="D25" t="s">
        <v>208</v>
      </c>
      <c r="E25" t="s">
        <v>203</v>
      </c>
      <c r="F25" t="s">
        <v>205</v>
      </c>
      <c r="I25" s="35" t="s">
        <v>206</v>
      </c>
    </row>
    <row r="26" spans="3:13" x14ac:dyDescent="0.25">
      <c r="C26" s="34"/>
      <c r="D26" t="s">
        <v>210</v>
      </c>
      <c r="E26" t="s">
        <v>215</v>
      </c>
      <c r="I26" s="35"/>
    </row>
    <row r="27" spans="3:13" ht="16.5" thickBot="1" x14ac:dyDescent="0.3">
      <c r="C27" s="36"/>
      <c r="D27" s="37"/>
      <c r="E27" s="37" t="s">
        <v>214</v>
      </c>
      <c r="F27" s="37"/>
      <c r="G27" s="37"/>
      <c r="H27" s="37"/>
      <c r="I27" s="38"/>
    </row>
    <row r="28" spans="3:13" x14ac:dyDescent="0.25">
      <c r="C28" s="31" t="s">
        <v>188</v>
      </c>
      <c r="D28" s="32"/>
      <c r="E28" s="32"/>
      <c r="F28" s="32"/>
      <c r="G28" s="32"/>
      <c r="H28" s="32"/>
      <c r="I28" s="33"/>
    </row>
    <row r="29" spans="3:13" x14ac:dyDescent="0.25">
      <c r="C29" s="34" t="s">
        <v>189</v>
      </c>
      <c r="D29" t="s">
        <v>190</v>
      </c>
      <c r="E29" t="s">
        <v>191</v>
      </c>
      <c r="H29" t="s">
        <v>194</v>
      </c>
      <c r="I29" s="35"/>
    </row>
    <row r="30" spans="3:13" x14ac:dyDescent="0.25">
      <c r="C30" s="34"/>
      <c r="E30" t="s">
        <v>192</v>
      </c>
      <c r="I30" s="35"/>
    </row>
    <row r="31" spans="3:13" x14ac:dyDescent="0.25">
      <c r="C31" s="34"/>
      <c r="E31" t="s">
        <v>193</v>
      </c>
      <c r="I31" s="35"/>
    </row>
    <row r="32" spans="3:13" x14ac:dyDescent="0.25">
      <c r="C32" s="34"/>
      <c r="D32" t="s">
        <v>195</v>
      </c>
      <c r="E32" t="s">
        <v>204</v>
      </c>
      <c r="F32" t="s">
        <v>197</v>
      </c>
      <c r="G32" t="s">
        <v>196</v>
      </c>
      <c r="I32" s="35" t="s">
        <v>199</v>
      </c>
      <c r="J32" t="s">
        <v>198</v>
      </c>
      <c r="M32" t="s">
        <v>200</v>
      </c>
    </row>
    <row r="33" spans="3:9" x14ac:dyDescent="0.25">
      <c r="C33" s="34"/>
      <c r="D33" t="s">
        <v>207</v>
      </c>
      <c r="E33" t="s">
        <v>152</v>
      </c>
      <c r="G33" t="s">
        <v>201</v>
      </c>
      <c r="I33" s="35"/>
    </row>
    <row r="34" spans="3:9" x14ac:dyDescent="0.25">
      <c r="C34" s="34"/>
      <c r="E34" t="s">
        <v>154</v>
      </c>
      <c r="I34" s="35"/>
    </row>
    <row r="35" spans="3:9" x14ac:dyDescent="0.25">
      <c r="C35" s="34"/>
      <c r="E35" t="s">
        <v>155</v>
      </c>
      <c r="I35" s="35"/>
    </row>
    <row r="36" spans="3:9" x14ac:dyDescent="0.25">
      <c r="C36" s="34"/>
      <c r="E36" t="s">
        <v>162</v>
      </c>
      <c r="H36" t="s">
        <v>202</v>
      </c>
      <c r="I36" s="35"/>
    </row>
    <row r="37" spans="3:9" x14ac:dyDescent="0.25">
      <c r="C37" s="34"/>
      <c r="D37" t="s">
        <v>210</v>
      </c>
      <c r="E37" t="s">
        <v>211</v>
      </c>
      <c r="I37" s="35"/>
    </row>
    <row r="38" spans="3:9" x14ac:dyDescent="0.25">
      <c r="C38" s="34"/>
      <c r="E38" t="s">
        <v>212</v>
      </c>
      <c r="I38" s="35"/>
    </row>
    <row r="39" spans="3:9" x14ac:dyDescent="0.25">
      <c r="C39" s="34"/>
      <c r="E39" t="s">
        <v>213</v>
      </c>
      <c r="I39" s="35"/>
    </row>
    <row r="40" spans="3:9" ht="16.5" thickBot="1" x14ac:dyDescent="0.3">
      <c r="C40" s="36"/>
      <c r="D40" s="37"/>
      <c r="E40" s="37" t="s">
        <v>214</v>
      </c>
      <c r="F40" s="37"/>
      <c r="G40" s="37"/>
      <c r="H40" s="37"/>
      <c r="I40" s="38"/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af7f72-99af-42e6-a6a5-1768b456778c}" enabled="1" method="Privileged" siteId="{bfaccad2-83f0-478b-a178-9e40a473484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優照護模式比較</vt:lpstr>
      <vt:lpstr>優照護系統比較</vt:lpstr>
      <vt:lpstr>WBS</vt:lpstr>
      <vt:lpstr>初階甘特圖</vt:lpstr>
      <vt:lpstr>初階甘特圖 (2)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He 何易達(FMD-IT)</dc:creator>
  <cp:lastModifiedBy>Silva He 何易達(FMD-IT)</cp:lastModifiedBy>
  <dcterms:created xsi:type="dcterms:W3CDTF">2015-06-05T18:17:20Z</dcterms:created>
  <dcterms:modified xsi:type="dcterms:W3CDTF">2025-10-20T10:57:32Z</dcterms:modified>
</cp:coreProperties>
</file>